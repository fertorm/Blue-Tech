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9 AG-12 (23-02-26)\"/>
    </mc:Choice>
  </mc:AlternateContent>
  <xr:revisionPtr revIDLastSave="0" documentId="13_ncr:1_{143DFC05-2167-4E65-A91B-78F6D07DFE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7" i="1" l="1"/>
  <c r="Q17" i="1"/>
  <c r="R13" i="1"/>
  <c r="Q13" i="1"/>
  <c r="S17" i="1" l="1"/>
  <c r="N12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T17" i="1" l="1"/>
  <c r="Q8" i="1"/>
  <c r="R8" i="1"/>
  <c r="O8" i="1"/>
  <c r="O12" i="1"/>
  <c r="S8" i="1" l="1"/>
  <c r="T8" i="1"/>
  <c r="T13" i="1"/>
  <c r="S13" i="1"/>
</calcChain>
</file>

<file path=xl/sharedStrings.xml><?xml version="1.0" encoding="utf-8"?>
<sst xmlns="http://schemas.openxmlformats.org/spreadsheetml/2006/main" count="70" uniqueCount="39">
  <si>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</si>
  <si>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</si>
  <si>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</si>
  <si>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</si>
  <si>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</si>
  <si>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</si>
  <si>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</si>
  <si>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</si>
  <si>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</si>
  <si>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</si>
  <si>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</si>
  <si>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</si>
  <si>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</si>
  <si>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</si>
  <si>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</si>
  <si>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</si>
  <si>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</si>
  <si>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</si>
  <si>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</si>
  <si>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</si>
  <si>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</si>
  <si>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</si>
  <si>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</si>
  <si>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</si>
  <si>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</si>
  <si>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</si>
  <si>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</si>
  <si>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</si>
  <si>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</si>
  <si>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</si>
  <si>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</si>
  <si>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</si>
  <si>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08</t>
  </si>
  <si>
    <t>Aerogenerador #12</t>
  </si>
  <si>
    <t>TE-191</t>
  </si>
  <si>
    <t>TE-192</t>
  </si>
  <si>
    <t>TE-190</t>
  </si>
  <si>
    <t>TE-194</t>
  </si>
  <si>
    <t>TE-195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</si>
</sst>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4" fontId="7" fillId="5" borderId="15" xfId="0" applyNumberFormat="1" applyFont="1" applyFill="1" applyBorder="1" applyAlignment="1">
      <alignment vertical="distributed"/>
    </xf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D3" zoomScale="70" zoomScaleNormal="70" zoomScaleSheetLayoutView="70" zoomScalePageLayoutView="49" workbookViewId="0">
      <selection activeCell="N11" sqref="N11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3" t="s">
        <v>0</v>
      </c>
      <c r="B1" s="64"/>
      <c r="C1" s="64"/>
      <c r="D1" s="83" t="s">
        <v>25</v>
      </c>
      <c r="E1" s="84"/>
      <c r="F1" s="84"/>
      <c r="G1" s="84"/>
      <c r="H1" s="84"/>
      <c r="I1" s="84"/>
      <c r="J1" s="84"/>
      <c r="K1" s="84"/>
      <c r="L1" s="84"/>
      <c r="M1" s="85"/>
      <c r="N1" s="92" t="s">
        <v>32</v>
      </c>
      <c r="O1" s="93"/>
    </row>
    <row r="2" spans="1:20" ht="28.5" customHeight="1">
      <c r="A2" s="65"/>
      <c r="B2" s="66"/>
      <c r="C2" s="66"/>
      <c r="D2" s="86"/>
      <c r="E2" s="87"/>
      <c r="F2" s="87"/>
      <c r="G2" s="87"/>
      <c r="H2" s="87"/>
      <c r="I2" s="87"/>
      <c r="J2" s="87"/>
      <c r="K2" s="87"/>
      <c r="L2" s="87"/>
      <c r="M2" s="88"/>
      <c r="N2" s="94"/>
      <c r="O2" s="95"/>
    </row>
    <row r="3" spans="1:20" ht="43.5" customHeight="1">
      <c r="A3" s="65"/>
      <c r="B3" s="66"/>
      <c r="C3" s="66"/>
      <c r="D3" s="89"/>
      <c r="E3" s="90"/>
      <c r="F3" s="90"/>
      <c r="G3" s="90"/>
      <c r="H3" s="90"/>
      <c r="I3" s="90"/>
      <c r="J3" s="90"/>
      <c r="K3" s="90"/>
      <c r="L3" s="90"/>
      <c r="M3" s="91"/>
      <c r="N3" s="94"/>
      <c r="O3" s="95"/>
    </row>
    <row r="4" spans="1:20" ht="35.25" customHeight="1">
      <c r="A4" s="96" t="s">
        <v>7</v>
      </c>
      <c r="B4" s="97"/>
      <c r="C4" s="98" t="s">
        <v>26</v>
      </c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100"/>
    </row>
    <row r="5" spans="1:20" ht="34.5" customHeight="1" thickBot="1">
      <c r="A5" s="101" t="s">
        <v>8</v>
      </c>
      <c r="B5" s="102"/>
      <c r="C5" s="102"/>
      <c r="D5" s="102"/>
      <c r="E5" s="102"/>
      <c r="F5" s="77" t="s">
        <v>24</v>
      </c>
      <c r="G5" s="78"/>
      <c r="H5" s="78"/>
      <c r="I5" s="78"/>
      <c r="J5" s="78"/>
      <c r="K5" s="78"/>
      <c r="L5" s="79"/>
      <c r="M5" s="80" t="s">
        <v>9</v>
      </c>
      <c r="N5" s="81"/>
      <c r="O5" s="82"/>
    </row>
    <row r="6" spans="1:20" ht="28.5" customHeight="1">
      <c r="A6" s="75" t="s">
        <v>1</v>
      </c>
      <c r="B6" s="75" t="s">
        <v>10</v>
      </c>
      <c r="C6" s="103" t="s">
        <v>11</v>
      </c>
      <c r="D6" s="104"/>
      <c r="E6" s="75" t="s">
        <v>12</v>
      </c>
      <c r="F6" s="75" t="s">
        <v>13</v>
      </c>
      <c r="G6" s="75" t="s">
        <v>14</v>
      </c>
      <c r="H6" s="75" t="s">
        <v>15</v>
      </c>
      <c r="I6" s="75" t="s">
        <v>19</v>
      </c>
      <c r="J6" s="75" t="s">
        <v>18</v>
      </c>
      <c r="K6" s="75" t="s">
        <v>20</v>
      </c>
      <c r="L6" s="75" t="s">
        <v>16</v>
      </c>
      <c r="M6" s="75" t="s">
        <v>21</v>
      </c>
      <c r="N6" s="75" t="s">
        <v>22</v>
      </c>
      <c r="O6" s="75" t="s">
        <v>23</v>
      </c>
    </row>
    <row r="7" spans="1:20" ht="36.75" customHeight="1" thickBot="1">
      <c r="A7" s="76"/>
      <c r="B7" s="76"/>
      <c r="C7" s="105"/>
      <c r="D7" s="10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Q7" s="5" t="s">
        <v>27</v>
      </c>
      <c r="R7" s="5" t="s">
        <v>28</v>
      </c>
      <c r="S7" s="5" t="s">
        <v>29</v>
      </c>
      <c r="T7" s="5" t="s">
        <v>30</v>
      </c>
    </row>
    <row r="8" spans="1:20" ht="39.75" customHeight="1">
      <c r="A8" s="23">
        <v>1</v>
      </c>
      <c r="B8" s="24" t="s">
        <v>36</v>
      </c>
      <c r="C8" s="51" t="s">
        <v>33</v>
      </c>
      <c r="D8" s="52"/>
      <c r="E8" s="24" t="s">
        <v>17</v>
      </c>
      <c r="F8" s="25">
        <v>46076</v>
      </c>
      <c r="G8" s="25">
        <v>46077</v>
      </c>
      <c r="H8" s="26">
        <f>+G8-F8</f>
        <v>1</v>
      </c>
      <c r="I8" s="24">
        <v>50</v>
      </c>
      <c r="J8" s="24">
        <v>50</v>
      </c>
      <c r="K8" s="27">
        <v>50</v>
      </c>
      <c r="L8" s="28">
        <v>321</v>
      </c>
      <c r="M8" s="36">
        <v>166.6</v>
      </c>
      <c r="N8" s="36">
        <f>+(M8*1000)/(I8*J8)</f>
        <v>66.64</v>
      </c>
      <c r="O8" s="45">
        <f>+N8/100</f>
        <v>0.66639999999999999</v>
      </c>
      <c r="Q8" s="41">
        <f>+AVERAGE(N8:N12)</f>
        <v>65.128</v>
      </c>
      <c r="R8" s="5">
        <f>+STDEVA(N8:N12)</f>
        <v>2.0725636299037955</v>
      </c>
      <c r="S8" s="41">
        <f>+Q8-R8</f>
        <v>63.055436370096203</v>
      </c>
      <c r="T8" s="41">
        <f>+Q8+R8</f>
        <v>67.200563629903797</v>
      </c>
    </row>
    <row r="9" spans="1:20" ht="39.75" customHeight="1">
      <c r="A9" s="23">
        <v>2</v>
      </c>
      <c r="B9" s="24" t="s">
        <v>34</v>
      </c>
      <c r="C9" s="51" t="s">
        <v>33</v>
      </c>
      <c r="D9" s="52"/>
      <c r="E9" s="24" t="s">
        <v>17</v>
      </c>
      <c r="F9" s="25">
        <v>46076</v>
      </c>
      <c r="G9" s="25">
        <v>46077</v>
      </c>
      <c r="H9" s="26">
        <f t="shared" ref="H9:H12" si="0">+G9-F9</f>
        <v>1</v>
      </c>
      <c r="I9" s="24">
        <v>50</v>
      </c>
      <c r="J9" s="24">
        <v>50</v>
      </c>
      <c r="K9" s="27">
        <v>50</v>
      </c>
      <c r="L9" s="27">
        <v>320</v>
      </c>
      <c r="M9" s="36">
        <v>160.6</v>
      </c>
      <c r="N9" s="36">
        <f t="shared" ref="N9:N12" si="1">+(M9*1000)/(I9*J9)</f>
        <v>64.239999999999995</v>
      </c>
      <c r="O9" s="45">
        <f t="shared" ref="O9:O12" si="2">+N9/100</f>
        <v>0.64239999999999997</v>
      </c>
    </row>
    <row r="10" spans="1:20" ht="39.75" customHeight="1">
      <c r="A10" s="23">
        <v>3</v>
      </c>
      <c r="B10" s="24" t="s">
        <v>35</v>
      </c>
      <c r="C10" s="51" t="s">
        <v>33</v>
      </c>
      <c r="D10" s="52"/>
      <c r="E10" s="24" t="s">
        <v>17</v>
      </c>
      <c r="F10" s="25">
        <v>46076</v>
      </c>
      <c r="G10" s="25">
        <v>46077</v>
      </c>
      <c r="H10" s="26">
        <f t="shared" si="0"/>
        <v>1</v>
      </c>
      <c r="I10" s="24">
        <v>50</v>
      </c>
      <c r="J10" s="24">
        <v>50</v>
      </c>
      <c r="K10" s="27">
        <v>50</v>
      </c>
      <c r="L10" s="27">
        <v>318</v>
      </c>
      <c r="M10" s="36">
        <v>159.1</v>
      </c>
      <c r="N10" s="36">
        <f t="shared" si="1"/>
        <v>63.64</v>
      </c>
      <c r="O10" s="45">
        <f t="shared" si="2"/>
        <v>0.63639999999999997</v>
      </c>
    </row>
    <row r="11" spans="1:20" ht="39.75" customHeight="1">
      <c r="A11" s="23">
        <v>4</v>
      </c>
      <c r="B11" s="24" t="s">
        <v>37</v>
      </c>
      <c r="C11" s="51" t="s">
        <v>33</v>
      </c>
      <c r="D11" s="52"/>
      <c r="E11" s="24" t="s">
        <v>17</v>
      </c>
      <c r="F11" s="25">
        <v>46076</v>
      </c>
      <c r="G11" s="25">
        <v>46077</v>
      </c>
      <c r="H11" s="26">
        <f t="shared" si="0"/>
        <v>1</v>
      </c>
      <c r="I11" s="24">
        <v>50</v>
      </c>
      <c r="J11" s="24">
        <v>50</v>
      </c>
      <c r="K11" s="27">
        <v>50</v>
      </c>
      <c r="L11" s="27">
        <v>313</v>
      </c>
      <c r="M11" s="36">
        <v>169.9</v>
      </c>
      <c r="N11" s="42">
        <f t="shared" si="1"/>
        <v>67.959999999999994</v>
      </c>
      <c r="O11" s="45">
        <f t="shared" si="2"/>
        <v>0.67959999999999998</v>
      </c>
    </row>
    <row r="12" spans="1:20" ht="39.75" customHeight="1">
      <c r="A12" s="23">
        <v>5</v>
      </c>
      <c r="B12" s="24" t="s">
        <v>38</v>
      </c>
      <c r="C12" s="51" t="s">
        <v>33</v>
      </c>
      <c r="D12" s="52"/>
      <c r="E12" s="24" t="s">
        <v>17</v>
      </c>
      <c r="F12" s="25">
        <v>46076</v>
      </c>
      <c r="G12" s="25">
        <v>46077</v>
      </c>
      <c r="H12" s="26">
        <f t="shared" si="0"/>
        <v>1</v>
      </c>
      <c r="I12" s="24">
        <v>50</v>
      </c>
      <c r="J12" s="24">
        <v>50</v>
      </c>
      <c r="K12" s="27">
        <v>50</v>
      </c>
      <c r="L12" s="27">
        <v>322</v>
      </c>
      <c r="M12" s="36">
        <v>157.9</v>
      </c>
      <c r="N12" s="50">
        <f t="shared" si="1"/>
        <v>63.16</v>
      </c>
      <c r="O12" s="45">
        <f t="shared" si="2"/>
        <v>0.63159999999999994</v>
      </c>
      <c r="Q12" s="5" t="s">
        <v>27</v>
      </c>
      <c r="R12" s="5" t="s">
        <v>28</v>
      </c>
      <c r="S12" s="5" t="s">
        <v>29</v>
      </c>
      <c r="T12" s="5" t="s">
        <v>30</v>
      </c>
    </row>
    <row r="13" spans="1:20" ht="39.75" customHeight="1">
      <c r="A13" s="29"/>
      <c r="B13" s="30"/>
      <c r="C13" s="53"/>
      <c r="D13" s="54"/>
      <c r="E13" s="30"/>
      <c r="F13" s="31"/>
      <c r="G13" s="32"/>
      <c r="H13" s="33"/>
      <c r="I13" s="30"/>
      <c r="J13" s="30"/>
      <c r="K13" s="34"/>
      <c r="L13" s="34"/>
      <c r="M13" s="35"/>
      <c r="N13" s="37"/>
      <c r="O13" s="46"/>
      <c r="Q13" s="41" t="e">
        <f>+AVERAGE(N13:N16)</f>
        <v>#DIV/0!</v>
      </c>
      <c r="R13" s="5" t="e">
        <f>+STDEVA(N13:N16)</f>
        <v>#DIV/0!</v>
      </c>
      <c r="S13" s="41" t="e">
        <f>+Q13-R13</f>
        <v>#DIV/0!</v>
      </c>
      <c r="T13" s="41" t="e">
        <f>+Q13+R13</f>
        <v>#DIV/0!</v>
      </c>
    </row>
    <row r="14" spans="1:20" ht="39.75" customHeight="1">
      <c r="A14" s="29"/>
      <c r="B14" s="30"/>
      <c r="C14" s="53"/>
      <c r="D14" s="54"/>
      <c r="E14" s="30"/>
      <c r="F14" s="31"/>
      <c r="G14" s="32"/>
      <c r="H14" s="33"/>
      <c r="I14" s="30"/>
      <c r="J14" s="30"/>
      <c r="K14" s="34"/>
      <c r="L14" s="34"/>
      <c r="M14" s="35"/>
      <c r="N14" s="43"/>
      <c r="O14" s="46"/>
    </row>
    <row r="15" spans="1:20" ht="39.75" customHeight="1">
      <c r="A15" s="29"/>
      <c r="B15" s="30"/>
      <c r="C15" s="53"/>
      <c r="D15" s="54"/>
      <c r="E15" s="30"/>
      <c r="F15" s="31"/>
      <c r="G15" s="32"/>
      <c r="H15" s="33"/>
      <c r="I15" s="30"/>
      <c r="J15" s="30"/>
      <c r="K15" s="34"/>
      <c r="L15" s="34"/>
      <c r="M15" s="35"/>
      <c r="N15" s="37"/>
      <c r="O15" s="46"/>
    </row>
    <row r="16" spans="1:20" ht="39.75" customHeight="1">
      <c r="A16" s="29"/>
      <c r="B16" s="30"/>
      <c r="C16" s="53"/>
      <c r="D16" s="54"/>
      <c r="E16" s="30"/>
      <c r="F16" s="31"/>
      <c r="G16" s="32"/>
      <c r="H16" s="33"/>
      <c r="I16" s="30"/>
      <c r="J16" s="30"/>
      <c r="K16" s="34"/>
      <c r="L16" s="34"/>
      <c r="M16" s="35"/>
      <c r="N16" s="37"/>
      <c r="O16" s="46"/>
      <c r="Q16" s="5" t="s">
        <v>27</v>
      </c>
      <c r="R16" s="5" t="s">
        <v>28</v>
      </c>
      <c r="S16" s="5" t="s">
        <v>29</v>
      </c>
      <c r="T16" s="5" t="s">
        <v>30</v>
      </c>
    </row>
    <row r="17" spans="1:20" ht="39.75" customHeight="1">
      <c r="A17" s="23"/>
      <c r="B17" s="24"/>
      <c r="C17" s="51"/>
      <c r="D17" s="52"/>
      <c r="E17" s="24"/>
      <c r="F17" s="25"/>
      <c r="G17" s="38"/>
      <c r="H17" s="26"/>
      <c r="I17" s="24"/>
      <c r="J17" s="24"/>
      <c r="K17" s="27"/>
      <c r="L17" s="27"/>
      <c r="M17" s="39"/>
      <c r="N17" s="40"/>
      <c r="O17" s="45"/>
      <c r="Q17" s="41" t="e">
        <f>+AVERAGE(N17:N22)</f>
        <v>#DIV/0!</v>
      </c>
      <c r="R17" s="5" t="e">
        <f>+STDEVA(N17:N22)</f>
        <v>#DIV/0!</v>
      </c>
      <c r="S17" s="41" t="e">
        <f>+Q17-R17</f>
        <v>#DIV/0!</v>
      </c>
      <c r="T17" s="41" t="e">
        <f>+Q17+R17</f>
        <v>#DIV/0!</v>
      </c>
    </row>
    <row r="18" spans="1:20" ht="39.75" customHeight="1">
      <c r="A18" s="23"/>
      <c r="B18" s="24"/>
      <c r="C18" s="51"/>
      <c r="D18" s="52"/>
      <c r="E18" s="24"/>
      <c r="F18" s="25"/>
      <c r="G18" s="38"/>
      <c r="H18" s="26"/>
      <c r="I18" s="24"/>
      <c r="J18" s="24"/>
      <c r="K18" s="27"/>
      <c r="L18" s="27"/>
      <c r="M18" s="39"/>
      <c r="N18" s="40"/>
      <c r="O18" s="45"/>
    </row>
    <row r="19" spans="1:20" ht="39.75" customHeight="1">
      <c r="A19" s="23"/>
      <c r="B19" s="24"/>
      <c r="C19" s="51"/>
      <c r="D19" s="52"/>
      <c r="E19" s="24"/>
      <c r="F19" s="25"/>
      <c r="G19" s="38"/>
      <c r="H19" s="26"/>
      <c r="I19" s="24"/>
      <c r="J19" s="24"/>
      <c r="K19" s="27"/>
      <c r="L19" s="27"/>
      <c r="M19" s="39"/>
      <c r="N19" s="44"/>
      <c r="O19" s="45"/>
    </row>
    <row r="20" spans="1:20" ht="39.75" customHeight="1">
      <c r="A20" s="23"/>
      <c r="B20" s="24"/>
      <c r="C20" s="51"/>
      <c r="D20" s="52"/>
      <c r="E20" s="24"/>
      <c r="F20" s="25"/>
      <c r="G20" s="38"/>
      <c r="H20" s="26"/>
      <c r="I20" s="24"/>
      <c r="J20" s="24"/>
      <c r="K20" s="27"/>
      <c r="L20" s="27"/>
      <c r="M20" s="39"/>
      <c r="N20" s="40"/>
      <c r="O20" s="45"/>
    </row>
    <row r="21" spans="1:20" ht="39.75" customHeight="1">
      <c r="A21" s="23"/>
      <c r="B21" s="24"/>
      <c r="C21" s="51"/>
      <c r="D21" s="52"/>
      <c r="E21" s="24"/>
      <c r="F21" s="25"/>
      <c r="G21" s="38"/>
      <c r="H21" s="26"/>
      <c r="I21" s="24"/>
      <c r="J21" s="24"/>
      <c r="K21" s="27"/>
      <c r="L21" s="27"/>
      <c r="M21" s="39"/>
      <c r="N21" s="44"/>
      <c r="O21" s="45"/>
    </row>
    <row r="22" spans="1:20" ht="39.75" customHeight="1">
      <c r="A22" s="23"/>
      <c r="B22" s="24"/>
      <c r="C22" s="51"/>
      <c r="D22" s="52"/>
      <c r="E22" s="24"/>
      <c r="F22" s="25"/>
      <c r="G22" s="38"/>
      <c r="H22" s="26"/>
      <c r="I22" s="24"/>
      <c r="J22" s="24"/>
      <c r="K22" s="27"/>
      <c r="L22" s="27"/>
      <c r="M22" s="39"/>
      <c r="N22" s="40"/>
      <c r="O22" s="45"/>
    </row>
    <row r="23" spans="1:20" ht="39.75" customHeight="1" thickBot="1">
      <c r="A23" s="3"/>
      <c r="B23" s="4"/>
      <c r="C23" s="58"/>
      <c r="D23" s="59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7" t="s">
        <v>31</v>
      </c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9"/>
      <c r="N24" s="69"/>
      <c r="O24" s="70"/>
    </row>
    <row r="25" spans="1:20" ht="30" customHeight="1" thickBot="1">
      <c r="A25" s="71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3"/>
      <c r="N25" s="73"/>
      <c r="O25" s="74"/>
    </row>
    <row r="26" spans="1:20" s="1" customFormat="1" ht="30" customHeight="1" thickBot="1">
      <c r="A26" s="60" t="s">
        <v>2</v>
      </c>
      <c r="B26" s="61"/>
      <c r="C26" s="61"/>
      <c r="D26" s="61"/>
      <c r="E26" s="61"/>
      <c r="F26" s="61"/>
      <c r="G26" s="61"/>
      <c r="H26" s="61"/>
      <c r="I26" s="62"/>
      <c r="J26" s="55" t="s">
        <v>3</v>
      </c>
      <c r="K26" s="56"/>
      <c r="L26" s="56"/>
      <c r="M26" s="56"/>
      <c r="N26" s="56"/>
      <c r="O26" s="57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2026-02-25T13:39:07Z</dcterms:modified>
</cp:coreProperties>
</file>