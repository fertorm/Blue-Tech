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china\Tecnopilotes\Registros de Calidad\01 AG-14 (8-12-25)\"/>
    </mc:Choice>
  </mc:AlternateContent>
  <xr:revisionPtr revIDLastSave="0" documentId="13_ncr:1_{BD936D66-EC79-4CA7-A75D-674EF06F75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. ROTURA" sheetId="1" r:id="rId1"/>
    <sheet name="INF. ROTURA (2)" sheetId="2" r:id="rId2"/>
  </sheets>
  <definedNames>
    <definedName name="_xlnm._FilterDatabase" localSheetId="0" hidden="1">'INF. ROTURA'!$A$6:$O$7</definedName>
    <definedName name="_xlnm._FilterDatabase" localSheetId="1" hidden="1">'INF. ROTURA (2)'!$A$6:$O$7</definedName>
    <definedName name="_xlnm.Print_Area" localSheetId="0">'INF. ROTURA'!$A$1:$O$29</definedName>
    <definedName name="_xlnm.Print_Area" localSheetId="1">'INF. ROTURA (2)'!$A$1:$O$29</definedName>
    <definedName name="_xlnm.Print_Titles" localSheetId="0">'INF. ROTURA'!$1:$3</definedName>
    <definedName name="_xlnm.Print_Titles" localSheetId="1">'INF. ROTURA (2)'!$1:$3</definedName>
  </definedNames>
  <calcPr calcId="191029"/>
</workbook>
</file>

<file path=xl/calcChain.xml><?xml version="1.0" encoding="utf-8"?>
<calcChain xmlns="http://schemas.openxmlformats.org/spreadsheetml/2006/main">
  <c r="R11" i="2" l="1"/>
  <c r="Q11" i="2"/>
  <c r="U11" i="2"/>
  <c r="T11" i="2"/>
  <c r="R19" i="1"/>
  <c r="Q19" i="1"/>
  <c r="U19" i="1"/>
  <c r="T19" i="1"/>
  <c r="R13" i="1"/>
  <c r="Q13" i="1"/>
  <c r="U13" i="1"/>
  <c r="T13" i="1"/>
  <c r="U8" i="1"/>
  <c r="T8" i="1"/>
  <c r="R8" i="1"/>
  <c r="Q8" i="1"/>
  <c r="O11" i="2"/>
  <c r="O12" i="2"/>
  <c r="O13" i="2"/>
  <c r="O14" i="2"/>
  <c r="O15" i="2"/>
  <c r="O16" i="2"/>
  <c r="N16" i="2"/>
  <c r="N11" i="2"/>
  <c r="N12" i="2"/>
  <c r="N13" i="2"/>
  <c r="N14" i="2"/>
  <c r="N15" i="2"/>
  <c r="H11" i="2"/>
  <c r="H12" i="2"/>
  <c r="H13" i="2"/>
  <c r="H14" i="2"/>
  <c r="H15" i="2"/>
  <c r="H16" i="2"/>
  <c r="N23" i="1"/>
  <c r="O23" i="1"/>
  <c r="N22" i="1"/>
  <c r="O22" i="1"/>
  <c r="N21" i="1"/>
  <c r="O21" i="1"/>
  <c r="N20" i="1"/>
  <c r="O20" i="1"/>
  <c r="N19" i="1"/>
  <c r="O19" i="1"/>
  <c r="H23" i="1"/>
  <c r="H22" i="1"/>
  <c r="H21" i="1"/>
  <c r="H20" i="1"/>
  <c r="H19" i="1"/>
  <c r="N10" i="2"/>
  <c r="O10" i="2"/>
  <c r="H10" i="2"/>
  <c r="N9" i="2"/>
  <c r="O9" i="2"/>
  <c r="H9" i="2"/>
  <c r="N8" i="2"/>
  <c r="O8" i="2"/>
  <c r="H8" i="2"/>
  <c r="N18" i="1"/>
  <c r="O18" i="1"/>
  <c r="N17" i="1"/>
  <c r="O17" i="1"/>
  <c r="N16" i="1"/>
  <c r="O16" i="1"/>
  <c r="N15" i="1"/>
  <c r="O15" i="1"/>
  <c r="N14" i="1"/>
  <c r="O14" i="1"/>
  <c r="N13" i="1"/>
  <c r="O13" i="1"/>
  <c r="H18" i="1"/>
  <c r="H17" i="1"/>
  <c r="H16" i="1"/>
  <c r="H15" i="1"/>
  <c r="H14" i="1"/>
  <c r="H13" i="1"/>
  <c r="O9" i="1"/>
  <c r="O10" i="1"/>
  <c r="O11" i="1"/>
  <c r="O12" i="1"/>
  <c r="N9" i="1"/>
  <c r="N10" i="1"/>
  <c r="N11" i="1"/>
  <c r="N12" i="1"/>
  <c r="H9" i="1"/>
  <c r="H10" i="1"/>
  <c r="H11" i="1"/>
  <c r="H12" i="1"/>
  <c r="N8" i="1"/>
  <c r="O8" i="1"/>
  <c r="H8" i="1"/>
</calcChain>
</file>

<file path=xl/sharedStrings.xml><?xml version="1.0" encoding="utf-8"?>
<sst xmlns="http://schemas.openxmlformats.org/spreadsheetml/2006/main" count="177" uniqueCount="60">
  <si>
    <t xml:space="preserve"> 
</t>
  </si>
  <si>
    <t>ITEM 项</t>
  </si>
  <si>
    <t>POWERCHINA / SUBCONTRATISTAS  承包商及分包商</t>
  </si>
  <si>
    <t>SUPERVISION 监理</t>
  </si>
  <si>
    <t>Firma 签字:</t>
  </si>
  <si>
    <t>Nombre 姓名:</t>
  </si>
  <si>
    <t xml:space="preserve">Fecha 日期:  </t>
  </si>
  <si>
    <t>PROYECTO: 项目名称</t>
  </si>
  <si>
    <t>DISEÑO, PROVISION, TRANSPORTE, MONTAJE, INSTALACION, PRUEBAS Y PUESTA EN MARCHA DE AEROGENERADORES PARA EL PROYECTO PARQUE EOLICO WARNES II - SANTA CRUZ</t>
  </si>
  <si>
    <r>
      <t xml:space="preserve">CLIENTE:  </t>
    </r>
    <r>
      <rPr>
        <sz val="12"/>
        <color theme="1"/>
        <rFont val="Arial"/>
        <family val="2"/>
      </rPr>
      <t xml:space="preserve"> ENDE CORPORACIÓN</t>
    </r>
    <r>
      <rPr>
        <b/>
        <sz val="12"/>
        <color theme="1"/>
        <rFont val="Arial"/>
        <family val="2"/>
      </rPr>
      <t xml:space="preserve">
客户</t>
    </r>
  </si>
  <si>
    <r>
      <rPr>
        <b/>
        <sz val="12"/>
        <rFont val="Arial"/>
        <family val="2"/>
      </rPr>
      <t>CODIGO:</t>
    </r>
    <r>
      <rPr>
        <sz val="12"/>
        <rFont val="Arial"/>
        <family val="2"/>
      </rPr>
      <t xml:space="preserve"> CI-PRO-001-REG-001</t>
    </r>
  </si>
  <si>
    <t>Codigo de probeta</t>
  </si>
  <si>
    <t>Estructura</t>
  </si>
  <si>
    <t>Tipo de grout utilizado</t>
  </si>
  <si>
    <t>Fecha de vaciado</t>
  </si>
  <si>
    <t>Fecha de rotura</t>
  </si>
  <si>
    <t>Edad de Rotura</t>
  </si>
  <si>
    <t>Peso (g)</t>
  </si>
  <si>
    <t>Sikagrout 9400</t>
  </si>
  <si>
    <t>Dimensiones  Lado B (mm)</t>
  </si>
  <si>
    <t>Dimensiones  Lado A (mm)</t>
  </si>
  <si>
    <t>Dimensione  Lado C (alto) (mm)</t>
  </si>
  <si>
    <t>Carga Rotura (kN)</t>
  </si>
  <si>
    <t>Resistencia de rotura (Mpa)</t>
  </si>
  <si>
    <t>% de Resistencia de rotura objetivo 100 (MPa)</t>
  </si>
  <si>
    <t>ROTURA DE GROUT A COMPRESIÓN</t>
  </si>
  <si>
    <t xml:space="preserve">REGISTRO DE ROTURA DE GROUT
 A COMPRESIÓN
</t>
  </si>
  <si>
    <t>Aerogenerador #14</t>
  </si>
  <si>
    <t>TE-013</t>
  </si>
  <si>
    <t>TE-014</t>
  </si>
  <si>
    <t>TE-015</t>
  </si>
  <si>
    <t>TE-016</t>
  </si>
  <si>
    <t>TE-017</t>
  </si>
  <si>
    <t>TE-018</t>
  </si>
  <si>
    <t>TE-019</t>
  </si>
  <si>
    <t>TE-020</t>
  </si>
  <si>
    <t>TE-021</t>
  </si>
  <si>
    <t>TE-022</t>
  </si>
  <si>
    <t>TE-023</t>
  </si>
  <si>
    <t>TE-024</t>
  </si>
  <si>
    <t>TE-025</t>
  </si>
  <si>
    <t>TE-026</t>
  </si>
  <si>
    <t>TE-027</t>
  </si>
  <si>
    <t>TE-028</t>
  </si>
  <si>
    <t>TE-029</t>
  </si>
  <si>
    <t>TE-030</t>
  </si>
  <si>
    <t>TE-031</t>
  </si>
  <si>
    <t xml:space="preserve">
FECHA:  27/11/2024
Rev. 0   PAG: 2 DE 2
INFORME N°: 01</t>
  </si>
  <si>
    <t xml:space="preserve">
FECHA:  27/11/2024
Rev. 0   PAG: 1 DE 2
INFORME N°: 01</t>
  </si>
  <si>
    <t>TE-033</t>
  </si>
  <si>
    <t>TE-034</t>
  </si>
  <si>
    <t>TE-035</t>
  </si>
  <si>
    <t>TE-036</t>
  </si>
  <si>
    <t>TE-038</t>
  </si>
  <si>
    <t>TE-039</t>
  </si>
  <si>
    <t>Promedio</t>
  </si>
  <si>
    <t>Desv. Standard</t>
  </si>
  <si>
    <t>min</t>
  </si>
  <si>
    <t>max</t>
  </si>
  <si>
    <r>
      <t xml:space="preserve">DETALLES ADICIONALES:
</t>
    </r>
    <r>
      <rPr>
        <sz val="11"/>
        <color theme="1"/>
        <rFont val="Arial"/>
        <family val="2"/>
      </rPr>
      <t>1) Los valores en rojo son desechados por estar por encima o por debajo del promedio +- la desv standard del grupo de muestreo.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</si>
</sst>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9"/>
      <name val="Calibri"/>
      <family val="3"/>
      <charset val="134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6" fillId="0" borderId="0" xfId="0" applyFont="1"/>
    <xf numFmtId="0" fontId="1" fillId="0" borderId="14" xfId="0" applyFont="1" applyBorder="1" applyAlignment="1">
      <alignment horizontal="center" vertical="distributed"/>
    </xf>
    <xf numFmtId="0" fontId="1" fillId="0" borderId="6" xfId="0" applyFont="1" applyBorder="1" applyAlignment="1">
      <alignment vertical="distributed"/>
    </xf>
    <xf numFmtId="0" fontId="1" fillId="0" borderId="6" xfId="0" applyFont="1" applyBorder="1" applyAlignment="1">
      <alignment horizontal="center" vertical="distributed"/>
    </xf>
    <xf numFmtId="0" fontId="1" fillId="0" borderId="13" xfId="0" applyFont="1" applyBorder="1" applyAlignment="1">
      <alignment horizontal="center" vertical="distributed"/>
    </xf>
    <xf numFmtId="14" fontId="1" fillId="0" borderId="14" xfId="0" applyNumberFormat="1" applyFont="1" applyBorder="1" applyAlignment="1">
      <alignment horizontal="center" vertical="distributed"/>
    </xf>
    <xf numFmtId="0" fontId="7" fillId="0" borderId="20" xfId="0" applyFont="1" applyBorder="1"/>
    <xf numFmtId="0" fontId="7" fillId="0" borderId="23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7" fillId="0" borderId="22" xfId="0" applyFont="1" applyBorder="1"/>
    <xf numFmtId="0" fontId="6" fillId="0" borderId="22" xfId="0" applyFont="1" applyBorder="1"/>
    <xf numFmtId="0" fontId="6" fillId="0" borderId="23" xfId="0" applyFont="1" applyBorder="1"/>
    <xf numFmtId="0" fontId="12" fillId="0" borderId="0" xfId="0" applyFont="1"/>
    <xf numFmtId="0" fontId="12" fillId="0" borderId="6" xfId="0" applyFont="1" applyBorder="1" applyAlignment="1">
      <alignment horizontal="center" vertical="distributed"/>
    </xf>
    <xf numFmtId="0" fontId="12" fillId="0" borderId="14" xfId="0" quotePrefix="1" applyFont="1" applyBorder="1" applyAlignment="1">
      <alignment horizontal="center" vertical="distributed"/>
    </xf>
    <xf numFmtId="0" fontId="12" fillId="0" borderId="15" xfId="0" applyFont="1" applyBorder="1" applyAlignment="1">
      <alignment horizontal="center" vertical="distributed"/>
    </xf>
    <xf numFmtId="0" fontId="12" fillId="0" borderId="7" xfId="0" applyFont="1" applyBorder="1" applyAlignment="1">
      <alignment vertical="distributed"/>
    </xf>
    <xf numFmtId="0" fontId="12" fillId="0" borderId="8" xfId="0" applyFont="1" applyBorder="1"/>
    <xf numFmtId="0" fontId="12" fillId="0" borderId="6" xfId="0" applyFont="1" applyBorder="1" applyAlignment="1">
      <alignment vertical="distributed"/>
    </xf>
    <xf numFmtId="0" fontId="12" fillId="0" borderId="23" xfId="0" applyFont="1" applyBorder="1" applyAlignment="1">
      <alignment horizontal="center" vertical="distributed"/>
    </xf>
    <xf numFmtId="0" fontId="12" fillId="0" borderId="0" xfId="0" applyFont="1" applyAlignment="1">
      <alignment vertical="distributed"/>
    </xf>
    <xf numFmtId="0" fontId="12" fillId="0" borderId="0" xfId="0" applyFont="1" applyAlignment="1">
      <alignment horizontal="center" vertical="distributed"/>
    </xf>
    <xf numFmtId="0" fontId="1" fillId="0" borderId="32" xfId="0" applyFont="1" applyBorder="1" applyAlignment="1">
      <alignment vertical="distributed"/>
    </xf>
    <xf numFmtId="1" fontId="1" fillId="0" borderId="14" xfId="0" applyNumberFormat="1" applyFont="1" applyBorder="1" applyAlignment="1">
      <alignment horizontal="center" vertical="distributed"/>
    </xf>
    <xf numFmtId="4" fontId="12" fillId="0" borderId="15" xfId="0" applyNumberFormat="1" applyFont="1" applyBorder="1" applyAlignment="1">
      <alignment horizontal="center" vertical="distributed"/>
    </xf>
    <xf numFmtId="4" fontId="12" fillId="0" borderId="14" xfId="0" quotePrefix="1" applyNumberFormat="1" applyFont="1" applyBorder="1" applyAlignment="1">
      <alignment horizontal="center" vertical="distributed"/>
    </xf>
    <xf numFmtId="4" fontId="12" fillId="0" borderId="7" xfId="0" applyNumberFormat="1" applyFont="1" applyBorder="1" applyAlignment="1">
      <alignment vertical="distributed"/>
    </xf>
    <xf numFmtId="10" fontId="12" fillId="0" borderId="8" xfId="0" applyNumberFormat="1" applyFont="1" applyBorder="1"/>
    <xf numFmtId="0" fontId="1" fillId="5" borderId="13" xfId="0" applyFont="1" applyFill="1" applyBorder="1" applyAlignment="1">
      <alignment horizontal="center" vertical="distributed"/>
    </xf>
    <xf numFmtId="0" fontId="1" fillId="5" borderId="14" xfId="0" applyFont="1" applyFill="1" applyBorder="1" applyAlignment="1">
      <alignment horizontal="center" vertical="distributed"/>
    </xf>
    <xf numFmtId="14" fontId="1" fillId="5" borderId="14" xfId="0" applyNumberFormat="1" applyFont="1" applyFill="1" applyBorder="1" applyAlignment="1">
      <alignment horizontal="center" vertical="distributed"/>
    </xf>
    <xf numFmtId="1" fontId="1" fillId="5" borderId="14" xfId="0" applyNumberFormat="1" applyFont="1" applyFill="1" applyBorder="1" applyAlignment="1">
      <alignment horizontal="center" vertical="distributed"/>
    </xf>
    <xf numFmtId="0" fontId="12" fillId="5" borderId="14" xfId="0" quotePrefix="1" applyFont="1" applyFill="1" applyBorder="1" applyAlignment="1">
      <alignment horizontal="center" vertical="distributed"/>
    </xf>
    <xf numFmtId="4" fontId="12" fillId="5" borderId="15" xfId="0" applyNumberFormat="1" applyFont="1" applyFill="1" applyBorder="1" applyAlignment="1">
      <alignment horizontal="center" vertical="distributed"/>
    </xf>
    <xf numFmtId="4" fontId="12" fillId="5" borderId="15" xfId="0" applyNumberFormat="1" applyFont="1" applyFill="1" applyBorder="1" applyAlignment="1">
      <alignment vertical="distributed"/>
    </xf>
    <xf numFmtId="4" fontId="12" fillId="5" borderId="14" xfId="0" quotePrefix="1" applyNumberFormat="1" applyFont="1" applyFill="1" applyBorder="1" applyAlignment="1">
      <alignment horizontal="center" vertical="distributed"/>
    </xf>
    <xf numFmtId="0" fontId="1" fillId="6" borderId="13" xfId="0" applyFont="1" applyFill="1" applyBorder="1" applyAlignment="1">
      <alignment horizontal="center" vertical="distributed"/>
    </xf>
    <xf numFmtId="0" fontId="1" fillId="6" borderId="14" xfId="0" applyFont="1" applyFill="1" applyBorder="1" applyAlignment="1">
      <alignment horizontal="center" vertical="distributed"/>
    </xf>
    <xf numFmtId="14" fontId="1" fillId="6" borderId="14" xfId="0" applyNumberFormat="1" applyFont="1" applyFill="1" applyBorder="1" applyAlignment="1">
      <alignment horizontal="center" vertical="distributed"/>
    </xf>
    <xf numFmtId="1" fontId="1" fillId="6" borderId="14" xfId="0" applyNumberFormat="1" applyFont="1" applyFill="1" applyBorder="1" applyAlignment="1">
      <alignment horizontal="center" vertical="distributed"/>
    </xf>
    <xf numFmtId="0" fontId="12" fillId="6" borderId="14" xfId="0" quotePrefix="1" applyFont="1" applyFill="1" applyBorder="1" applyAlignment="1">
      <alignment horizontal="center" vertical="distributed"/>
    </xf>
    <xf numFmtId="4" fontId="12" fillId="6" borderId="14" xfId="0" quotePrefix="1" applyNumberFormat="1" applyFont="1" applyFill="1" applyBorder="1" applyAlignment="1">
      <alignment horizontal="center" vertical="distributed"/>
    </xf>
    <xf numFmtId="4" fontId="12" fillId="6" borderId="15" xfId="0" applyNumberFormat="1" applyFont="1" applyFill="1" applyBorder="1" applyAlignment="1">
      <alignment horizontal="center" vertical="distributed"/>
    </xf>
    <xf numFmtId="4" fontId="12" fillId="6" borderId="7" xfId="0" applyNumberFormat="1" applyFont="1" applyFill="1" applyBorder="1" applyAlignment="1">
      <alignment vertical="distributed"/>
    </xf>
    <xf numFmtId="10" fontId="12" fillId="6" borderId="8" xfId="0" applyNumberFormat="1" applyFont="1" applyFill="1" applyBorder="1"/>
    <xf numFmtId="4" fontId="12" fillId="5" borderId="7" xfId="0" applyNumberFormat="1" applyFont="1" applyFill="1" applyBorder="1" applyAlignment="1">
      <alignment vertical="distributed"/>
    </xf>
    <xf numFmtId="10" fontId="12" fillId="5" borderId="8" xfId="0" applyNumberFormat="1" applyFont="1" applyFill="1" applyBorder="1"/>
    <xf numFmtId="4" fontId="12" fillId="6" borderId="15" xfId="0" applyNumberFormat="1" applyFont="1" applyFill="1" applyBorder="1" applyAlignment="1">
      <alignment vertical="distributed"/>
    </xf>
    <xf numFmtId="10" fontId="12" fillId="0" borderId="0" xfId="0" applyNumberFormat="1" applyFont="1"/>
    <xf numFmtId="4" fontId="12" fillId="0" borderId="0" xfId="0" applyNumberFormat="1" applyFont="1"/>
    <xf numFmtId="4" fontId="14" fillId="5" borderId="15" xfId="0" applyNumberFormat="1" applyFont="1" applyFill="1" applyBorder="1" applyAlignment="1">
      <alignment vertical="distributed"/>
    </xf>
    <xf numFmtId="4" fontId="14" fillId="6" borderId="7" xfId="0" applyNumberFormat="1" applyFont="1" applyFill="1" applyBorder="1" applyAlignment="1">
      <alignment vertical="distributed"/>
    </xf>
    <xf numFmtId="4" fontId="14" fillId="5" borderId="7" xfId="0" applyNumberFormat="1" applyFont="1" applyFill="1" applyBorder="1" applyAlignment="1">
      <alignment vertical="distributed"/>
    </xf>
    <xf numFmtId="4" fontId="14" fillId="6" borderId="15" xfId="0" applyNumberFormat="1" applyFont="1" applyFill="1" applyBorder="1" applyAlignment="1">
      <alignment vertical="distributed"/>
    </xf>
    <xf numFmtId="0" fontId="1" fillId="5" borderId="15" xfId="0" applyFont="1" applyFill="1" applyBorder="1" applyAlignment="1">
      <alignment horizontal="center" vertical="distributed"/>
    </xf>
    <xf numFmtId="0" fontId="1" fillId="5" borderId="31" xfId="0" applyFont="1" applyFill="1" applyBorder="1" applyAlignment="1">
      <alignment horizontal="center" vertical="distributed"/>
    </xf>
    <xf numFmtId="0" fontId="1" fillId="6" borderId="15" xfId="0" applyFont="1" applyFill="1" applyBorder="1" applyAlignment="1">
      <alignment horizontal="center" vertical="distributed"/>
    </xf>
    <xf numFmtId="0" fontId="1" fillId="6" borderId="31" xfId="0" applyFont="1" applyFill="1" applyBorder="1" applyAlignment="1">
      <alignment horizontal="center" vertical="distributed"/>
    </xf>
    <xf numFmtId="0" fontId="2" fillId="0" borderId="39" xfId="0" applyFont="1" applyBorder="1" applyAlignment="1">
      <alignment horizontal="left" vertical="distributed"/>
    </xf>
    <xf numFmtId="0" fontId="2" fillId="0" borderId="37" xfId="0" applyFont="1" applyBorder="1" applyAlignment="1">
      <alignment horizontal="left" vertical="distributed"/>
    </xf>
    <xf numFmtId="0" fontId="12" fillId="0" borderId="7" xfId="0" applyFont="1" applyBorder="1" applyAlignment="1">
      <alignment horizontal="center" vertical="distributed"/>
    </xf>
    <xf numFmtId="0" fontId="12" fillId="0" borderId="36" xfId="0" applyFont="1" applyBorder="1" applyAlignment="1">
      <alignment horizontal="center" vertical="distributed"/>
    </xf>
    <xf numFmtId="0" fontId="12" fillId="0" borderId="38" xfId="0" applyFont="1" applyBorder="1" applyAlignment="1">
      <alignment horizontal="center" vertical="distributed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distributed" wrapText="1"/>
    </xf>
    <xf numFmtId="0" fontId="12" fillId="0" borderId="2" xfId="0" applyFont="1" applyBorder="1" applyAlignment="1">
      <alignment horizontal="center" vertical="distributed"/>
    </xf>
    <xf numFmtId="0" fontId="12" fillId="0" borderId="5" xfId="0" applyFont="1" applyBorder="1" applyAlignment="1">
      <alignment horizontal="center" vertical="distributed"/>
    </xf>
    <xf numFmtId="0" fontId="12" fillId="0" borderId="6" xfId="0" applyFont="1" applyBorder="1" applyAlignment="1">
      <alignment horizontal="center" vertical="distributed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2" borderId="35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distributed" wrapText="1"/>
    </xf>
    <xf numFmtId="0" fontId="3" fillId="0" borderId="36" xfId="0" applyFont="1" applyBorder="1" applyAlignment="1">
      <alignment horizontal="center" vertical="distributed" wrapText="1"/>
    </xf>
    <xf numFmtId="0" fontId="3" fillId="0" borderId="37" xfId="0" applyFont="1" applyBorder="1" applyAlignment="1">
      <alignment horizontal="center" vertical="distributed" wrapText="1"/>
    </xf>
    <xf numFmtId="0" fontId="11" fillId="0" borderId="7" xfId="0" applyFont="1" applyBorder="1" applyAlignment="1">
      <alignment horizontal="center" vertical="distributed"/>
    </xf>
    <xf numFmtId="0" fontId="11" fillId="0" borderId="36" xfId="0" applyFont="1" applyBorder="1" applyAlignment="1">
      <alignment horizontal="center" vertical="distributed"/>
    </xf>
    <xf numFmtId="0" fontId="11" fillId="0" borderId="38" xfId="0" applyFont="1" applyBorder="1" applyAlignment="1">
      <alignment horizontal="center" vertical="distributed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distributed"/>
    </xf>
    <xf numFmtId="0" fontId="1" fillId="0" borderId="31" xfId="0" applyFont="1" applyBorder="1" applyAlignment="1">
      <alignment horizontal="center" vertical="distributed"/>
    </xf>
    <xf numFmtId="0" fontId="1" fillId="0" borderId="7" xfId="0" applyFont="1" applyBorder="1" applyAlignment="1">
      <alignment horizontal="center" vertical="distributed"/>
    </xf>
    <xf numFmtId="0" fontId="1" fillId="0" borderId="36" xfId="0" applyFont="1" applyBorder="1" applyAlignment="1">
      <alignment horizontal="center" vertical="distributed"/>
    </xf>
    <xf numFmtId="0" fontId="8" fillId="0" borderId="0" xfId="0" applyFont="1" applyBorder="1" applyAlignment="1">
      <alignment horizontal="center" vertical="center" wrapText="1"/>
    </xf>
    <xf numFmtId="10" fontId="12" fillId="5" borderId="41" xfId="0" applyNumberFormat="1" applyFont="1" applyFill="1" applyBorder="1" applyAlignment="1">
      <alignment vertical="distributed"/>
    </xf>
    <xf numFmtId="0" fontId="6" fillId="0" borderId="0" xfId="0" applyFont="1" applyBorder="1"/>
    <xf numFmtId="0" fontId="7" fillId="0" borderId="0" xfId="0" applyFont="1" applyBorder="1"/>
    <xf numFmtId="10" fontId="12" fillId="6" borderId="41" xfId="0" applyNumberFormat="1" applyFont="1" applyFill="1" applyBorder="1" applyAlignment="1">
      <alignment vertical="distributed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D1C13A-1FF4-4BD2-9E1C-5DF14398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510" y="152401"/>
          <a:ext cx="2963023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0EDD6-D65C-45BD-B7D6-F56EB34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" y="43542"/>
          <a:ext cx="1863512" cy="1042307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69B843-8E05-4C29-880C-29CB6C58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4172" y="805543"/>
          <a:ext cx="1060229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5179A6-D775-D7D5-FE9F-D5CBF797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9772" y="108857"/>
          <a:ext cx="101917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293914</xdr:colOff>
      <xdr:row>26</xdr:row>
      <xdr:rowOff>87085</xdr:rowOff>
    </xdr:from>
    <xdr:to>
      <xdr:col>2</xdr:col>
      <xdr:colOff>708781</xdr:colOff>
      <xdr:row>28</xdr:row>
      <xdr:rowOff>174341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80273C4-5C16-4052-9762-5671E16FDE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914400" y="12289971"/>
          <a:ext cx="2058610" cy="1458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326E2A-E72A-499F-AF59-FB3BBEA66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5970" y="152401"/>
          <a:ext cx="2973909" cy="59436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0DD906-97F7-4EC3-AB8D-FF5924122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611" y="43542"/>
          <a:ext cx="1865689" cy="1037953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A94FCB2-CC6B-4738-BB81-1C849113E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8323" y="801189"/>
          <a:ext cx="1058052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9EBE5A4-78E2-4581-BD7E-01494B17F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303" y="108857"/>
          <a:ext cx="1019175" cy="957671"/>
        </a:xfrm>
        <a:prstGeom prst="rect">
          <a:avLst/>
        </a:prstGeom>
      </xdr:spPr>
    </xdr:pic>
    <xdr:clientData/>
  </xdr:twoCellAnchor>
  <xdr:twoCellAnchor editAs="oneCell">
    <xdr:from>
      <xdr:col>1</xdr:col>
      <xdr:colOff>391886</xdr:colOff>
      <xdr:row>26</xdr:row>
      <xdr:rowOff>76201</xdr:rowOff>
    </xdr:from>
    <xdr:to>
      <xdr:col>2</xdr:col>
      <xdr:colOff>806753</xdr:colOff>
      <xdr:row>28</xdr:row>
      <xdr:rowOff>163457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259A633-DEA8-42A2-93A6-E0CF8666B6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1012372" y="12148458"/>
          <a:ext cx="2058610" cy="1458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U29"/>
  <sheetViews>
    <sheetView tabSelected="1" showRuler="0" view="pageBreakPreview" zoomScale="70" zoomScaleNormal="70" zoomScaleSheetLayoutView="70" zoomScalePageLayoutView="49" workbookViewId="0">
      <selection activeCell="A24" sqref="A24:O25"/>
    </sheetView>
  </sheetViews>
  <sheetFormatPr baseColWidth="10" defaultColWidth="10.6640625" defaultRowHeight="13.8"/>
  <cols>
    <col min="1" max="1" width="9.109375" style="23" customWidth="1"/>
    <col min="2" max="2" width="24" style="23" customWidth="1"/>
    <col min="3" max="3" width="28.109375" style="23" customWidth="1"/>
    <col min="4" max="4" width="17" style="23" customWidth="1"/>
    <col min="5" max="5" width="16.21875" style="23" customWidth="1"/>
    <col min="6" max="6" width="17.44140625" style="23" customWidth="1"/>
    <col min="7" max="7" width="15.77734375" style="23" customWidth="1"/>
    <col min="8" max="8" width="16.44140625" style="23" customWidth="1"/>
    <col min="9" max="9" width="18.21875" style="23" customWidth="1"/>
    <col min="10" max="10" width="23.5546875" style="24" customWidth="1"/>
    <col min="11" max="11" width="22.88671875" style="24" customWidth="1"/>
    <col min="12" max="12" width="20.44140625" style="23" customWidth="1"/>
    <col min="13" max="13" width="17.44140625" style="23" customWidth="1"/>
    <col min="14" max="14" width="24.88671875" style="23" customWidth="1"/>
    <col min="15" max="15" width="18.109375" style="15" customWidth="1"/>
    <col min="16" max="16384" width="10.6640625" style="15"/>
  </cols>
  <sheetData>
    <row r="1" spans="1:21" ht="24.75" customHeight="1">
      <c r="A1" s="68" t="s">
        <v>0</v>
      </c>
      <c r="B1" s="69"/>
      <c r="C1" s="69"/>
      <c r="D1" s="91" t="s">
        <v>26</v>
      </c>
      <c r="E1" s="92"/>
      <c r="F1" s="92"/>
      <c r="G1" s="92"/>
      <c r="H1" s="92"/>
      <c r="I1" s="92"/>
      <c r="J1" s="92"/>
      <c r="K1" s="92"/>
      <c r="L1" s="92"/>
      <c r="M1" s="93"/>
      <c r="N1" s="99" t="s">
        <v>48</v>
      </c>
      <c r="O1" s="100"/>
    </row>
    <row r="2" spans="1:21" ht="28.5" customHeight="1">
      <c r="A2" s="70"/>
      <c r="B2" s="71"/>
      <c r="C2" s="71"/>
      <c r="D2" s="94"/>
      <c r="E2" s="114"/>
      <c r="F2" s="114"/>
      <c r="G2" s="114"/>
      <c r="H2" s="114"/>
      <c r="I2" s="114"/>
      <c r="J2" s="114"/>
      <c r="K2" s="114"/>
      <c r="L2" s="114"/>
      <c r="M2" s="95"/>
      <c r="N2" s="101"/>
      <c r="O2" s="102"/>
    </row>
    <row r="3" spans="1:21" ht="43.5" customHeight="1">
      <c r="A3" s="70"/>
      <c r="B3" s="71"/>
      <c r="C3" s="71"/>
      <c r="D3" s="96"/>
      <c r="E3" s="97"/>
      <c r="F3" s="97"/>
      <c r="G3" s="97"/>
      <c r="H3" s="97"/>
      <c r="I3" s="97"/>
      <c r="J3" s="97"/>
      <c r="K3" s="97"/>
      <c r="L3" s="97"/>
      <c r="M3" s="98"/>
      <c r="N3" s="101"/>
      <c r="O3" s="102"/>
    </row>
    <row r="4" spans="1:21" ht="35.25" customHeight="1">
      <c r="A4" s="61" t="s">
        <v>7</v>
      </c>
      <c r="B4" s="62"/>
      <c r="C4" s="63" t="s">
        <v>8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5"/>
    </row>
    <row r="5" spans="1:21" ht="34.5" customHeight="1" thickBot="1">
      <c r="A5" s="66" t="s">
        <v>9</v>
      </c>
      <c r="B5" s="67"/>
      <c r="C5" s="67"/>
      <c r="D5" s="67"/>
      <c r="E5" s="67"/>
      <c r="F5" s="82" t="s">
        <v>25</v>
      </c>
      <c r="G5" s="83"/>
      <c r="H5" s="83"/>
      <c r="I5" s="83"/>
      <c r="J5" s="83"/>
      <c r="K5" s="83"/>
      <c r="L5" s="84"/>
      <c r="M5" s="85" t="s">
        <v>10</v>
      </c>
      <c r="N5" s="86"/>
      <c r="O5" s="87"/>
    </row>
    <row r="6" spans="1:21" ht="28.5" customHeight="1">
      <c r="A6" s="80" t="s">
        <v>1</v>
      </c>
      <c r="B6" s="80" t="s">
        <v>11</v>
      </c>
      <c r="C6" s="103" t="s">
        <v>12</v>
      </c>
      <c r="D6" s="104"/>
      <c r="E6" s="80" t="s">
        <v>13</v>
      </c>
      <c r="F6" s="80" t="s">
        <v>14</v>
      </c>
      <c r="G6" s="80" t="s">
        <v>15</v>
      </c>
      <c r="H6" s="80" t="s">
        <v>16</v>
      </c>
      <c r="I6" s="80" t="s">
        <v>20</v>
      </c>
      <c r="J6" s="80" t="s">
        <v>19</v>
      </c>
      <c r="K6" s="80" t="s">
        <v>21</v>
      </c>
      <c r="L6" s="80" t="s">
        <v>17</v>
      </c>
      <c r="M6" s="80" t="s">
        <v>22</v>
      </c>
      <c r="N6" s="80" t="s">
        <v>23</v>
      </c>
      <c r="O6" s="80" t="s">
        <v>24</v>
      </c>
    </row>
    <row r="7" spans="1:21" ht="36.75" customHeight="1" thickBot="1">
      <c r="A7" s="81"/>
      <c r="B7" s="81"/>
      <c r="C7" s="105"/>
      <c r="D7" s="106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Q7" s="51" t="s">
        <v>55</v>
      </c>
      <c r="R7" s="15" t="s">
        <v>56</v>
      </c>
      <c r="T7" s="15" t="s">
        <v>57</v>
      </c>
      <c r="U7" s="15" t="s">
        <v>58</v>
      </c>
    </row>
    <row r="8" spans="1:21" ht="39.75" customHeight="1">
      <c r="A8" s="31">
        <v>1</v>
      </c>
      <c r="B8" s="32" t="s">
        <v>28</v>
      </c>
      <c r="C8" s="57" t="s">
        <v>27</v>
      </c>
      <c r="D8" s="58"/>
      <c r="E8" s="32" t="s">
        <v>18</v>
      </c>
      <c r="F8" s="33">
        <v>45999</v>
      </c>
      <c r="G8" s="33">
        <v>46000</v>
      </c>
      <c r="H8" s="34">
        <f>+G8-F8</f>
        <v>1</v>
      </c>
      <c r="I8" s="32">
        <v>50</v>
      </c>
      <c r="J8" s="32">
        <v>50</v>
      </c>
      <c r="K8" s="35">
        <v>50</v>
      </c>
      <c r="L8" s="36">
        <v>323.66000000000003</v>
      </c>
      <c r="M8" s="36">
        <v>207.8</v>
      </c>
      <c r="N8" s="37">
        <f>+(M8*1000)/(I8*J8)</f>
        <v>83.12</v>
      </c>
      <c r="O8" s="115">
        <f>+N8/100</f>
        <v>0.83120000000000005</v>
      </c>
      <c r="Q8" s="52">
        <f>+AVERAGE(N8:N12)</f>
        <v>85.183999999999997</v>
      </c>
      <c r="R8" s="15">
        <f>+STDEVA(N8:N12)</f>
        <v>2.806506725450693</v>
      </c>
      <c r="T8" s="52">
        <f>+Q8-R8</f>
        <v>82.377493274549309</v>
      </c>
      <c r="U8" s="52">
        <f>+Q8+R8</f>
        <v>87.990506725450686</v>
      </c>
    </row>
    <row r="9" spans="1:21" ht="39.75" customHeight="1">
      <c r="A9" s="31">
        <v>2</v>
      </c>
      <c r="B9" s="32" t="s">
        <v>29</v>
      </c>
      <c r="C9" s="57" t="s">
        <v>27</v>
      </c>
      <c r="D9" s="58"/>
      <c r="E9" s="32" t="s">
        <v>18</v>
      </c>
      <c r="F9" s="33">
        <v>45999</v>
      </c>
      <c r="G9" s="33">
        <v>46000</v>
      </c>
      <c r="H9" s="34">
        <f t="shared" ref="H9:H18" si="0">+G9-F9</f>
        <v>1</v>
      </c>
      <c r="I9" s="32">
        <v>50</v>
      </c>
      <c r="J9" s="32">
        <v>50</v>
      </c>
      <c r="K9" s="35">
        <v>50</v>
      </c>
      <c r="L9" s="38">
        <v>329.61</v>
      </c>
      <c r="M9" s="36">
        <v>208.5</v>
      </c>
      <c r="N9" s="37">
        <f t="shared" ref="N9:N23" si="1">+(M9*1000)/(I9*J9)</f>
        <v>83.4</v>
      </c>
      <c r="O9" s="115">
        <f t="shared" ref="O9:O23" si="2">+N9/100</f>
        <v>0.83400000000000007</v>
      </c>
    </row>
    <row r="10" spans="1:21" ht="39.75" customHeight="1">
      <c r="A10" s="31">
        <v>3</v>
      </c>
      <c r="B10" s="32" t="s">
        <v>30</v>
      </c>
      <c r="C10" s="57" t="s">
        <v>27</v>
      </c>
      <c r="D10" s="58"/>
      <c r="E10" s="32" t="s">
        <v>18</v>
      </c>
      <c r="F10" s="33">
        <v>45999</v>
      </c>
      <c r="G10" s="33">
        <v>46000</v>
      </c>
      <c r="H10" s="34">
        <f t="shared" si="0"/>
        <v>1</v>
      </c>
      <c r="I10" s="32">
        <v>50</v>
      </c>
      <c r="J10" s="32">
        <v>50</v>
      </c>
      <c r="K10" s="35">
        <v>50</v>
      </c>
      <c r="L10" s="38">
        <v>326.64</v>
      </c>
      <c r="M10" s="36">
        <v>219.7</v>
      </c>
      <c r="N10" s="37">
        <f t="shared" si="1"/>
        <v>87.88</v>
      </c>
      <c r="O10" s="115">
        <f t="shared" si="2"/>
        <v>0.87879999999999991</v>
      </c>
      <c r="Q10" s="52"/>
    </row>
    <row r="11" spans="1:21" ht="39.75" customHeight="1">
      <c r="A11" s="31">
        <v>4</v>
      </c>
      <c r="B11" s="32" t="s">
        <v>31</v>
      </c>
      <c r="C11" s="57" t="s">
        <v>27</v>
      </c>
      <c r="D11" s="58"/>
      <c r="E11" s="32" t="s">
        <v>18</v>
      </c>
      <c r="F11" s="33">
        <v>45999</v>
      </c>
      <c r="G11" s="33">
        <v>46000</v>
      </c>
      <c r="H11" s="34">
        <f t="shared" si="0"/>
        <v>1</v>
      </c>
      <c r="I11" s="32">
        <v>50</v>
      </c>
      <c r="J11" s="32">
        <v>50</v>
      </c>
      <c r="K11" s="35">
        <v>50</v>
      </c>
      <c r="L11" s="38">
        <v>312.85000000000002</v>
      </c>
      <c r="M11" s="36">
        <v>207.3</v>
      </c>
      <c r="N11" s="37">
        <f t="shared" si="1"/>
        <v>82.92</v>
      </c>
      <c r="O11" s="115">
        <f t="shared" si="2"/>
        <v>0.82920000000000005</v>
      </c>
      <c r="Q11" s="52"/>
    </row>
    <row r="12" spans="1:21" ht="39.75" customHeight="1">
      <c r="A12" s="31">
        <v>5</v>
      </c>
      <c r="B12" s="32" t="s">
        <v>32</v>
      </c>
      <c r="C12" s="57" t="s">
        <v>27</v>
      </c>
      <c r="D12" s="58"/>
      <c r="E12" s="32" t="s">
        <v>18</v>
      </c>
      <c r="F12" s="33">
        <v>45999</v>
      </c>
      <c r="G12" s="33">
        <v>46000</v>
      </c>
      <c r="H12" s="34">
        <f t="shared" si="0"/>
        <v>1</v>
      </c>
      <c r="I12" s="32">
        <v>50</v>
      </c>
      <c r="J12" s="32">
        <v>50</v>
      </c>
      <c r="K12" s="35">
        <v>50</v>
      </c>
      <c r="L12" s="38">
        <v>313.23</v>
      </c>
      <c r="M12" s="36">
        <v>221.5</v>
      </c>
      <c r="N12" s="53">
        <f t="shared" si="1"/>
        <v>88.6</v>
      </c>
      <c r="O12" s="115">
        <f t="shared" si="2"/>
        <v>0.8859999999999999</v>
      </c>
      <c r="Q12" s="51" t="s">
        <v>55</v>
      </c>
      <c r="R12" s="15" t="s">
        <v>56</v>
      </c>
      <c r="T12" s="15" t="s">
        <v>57</v>
      </c>
      <c r="U12" s="15" t="s">
        <v>58</v>
      </c>
    </row>
    <row r="13" spans="1:21" ht="39.75" customHeight="1">
      <c r="A13" s="39">
        <v>6</v>
      </c>
      <c r="B13" s="40" t="s">
        <v>33</v>
      </c>
      <c r="C13" s="59" t="s">
        <v>27</v>
      </c>
      <c r="D13" s="60"/>
      <c r="E13" s="40" t="s">
        <v>18</v>
      </c>
      <c r="F13" s="41">
        <v>45999</v>
      </c>
      <c r="G13" s="41">
        <v>46002</v>
      </c>
      <c r="H13" s="42">
        <f t="shared" si="0"/>
        <v>3</v>
      </c>
      <c r="I13" s="40">
        <v>50</v>
      </c>
      <c r="J13" s="40">
        <v>50</v>
      </c>
      <c r="K13" s="43">
        <v>50</v>
      </c>
      <c r="L13" s="44">
        <v>324</v>
      </c>
      <c r="M13" s="45">
        <v>243.1</v>
      </c>
      <c r="N13" s="54">
        <f t="shared" si="1"/>
        <v>97.24</v>
      </c>
      <c r="O13" s="47">
        <f t="shared" si="2"/>
        <v>0.97239999999999993</v>
      </c>
      <c r="Q13" s="52">
        <f>+AVERAGE(N13:N18)</f>
        <v>104.81333333333333</v>
      </c>
      <c r="R13" s="15">
        <f>+STDEVA(N13:N18)</f>
        <v>6.651540172521452</v>
      </c>
      <c r="T13" s="52">
        <f>+Q13-R13</f>
        <v>98.161793160811882</v>
      </c>
      <c r="U13" s="52">
        <f>+Q13+R13</f>
        <v>111.46487350585478</v>
      </c>
    </row>
    <row r="14" spans="1:21" ht="39.75" customHeight="1">
      <c r="A14" s="39">
        <v>7</v>
      </c>
      <c r="B14" s="40" t="s">
        <v>34</v>
      </c>
      <c r="C14" s="59" t="s">
        <v>27</v>
      </c>
      <c r="D14" s="60"/>
      <c r="E14" s="40" t="s">
        <v>18</v>
      </c>
      <c r="F14" s="41">
        <v>45999</v>
      </c>
      <c r="G14" s="41">
        <v>46002</v>
      </c>
      <c r="H14" s="42">
        <f t="shared" si="0"/>
        <v>3</v>
      </c>
      <c r="I14" s="40">
        <v>50</v>
      </c>
      <c r="J14" s="40">
        <v>50</v>
      </c>
      <c r="K14" s="43">
        <v>50</v>
      </c>
      <c r="L14" s="44">
        <v>321</v>
      </c>
      <c r="M14" s="45">
        <v>279.2</v>
      </c>
      <c r="N14" s="54">
        <f t="shared" si="1"/>
        <v>111.68</v>
      </c>
      <c r="O14" s="47">
        <f t="shared" si="2"/>
        <v>1.1168</v>
      </c>
    </row>
    <row r="15" spans="1:21" ht="39.75" customHeight="1">
      <c r="A15" s="39">
        <v>8</v>
      </c>
      <c r="B15" s="40" t="s">
        <v>35</v>
      </c>
      <c r="C15" s="59" t="s">
        <v>27</v>
      </c>
      <c r="D15" s="60"/>
      <c r="E15" s="40" t="s">
        <v>18</v>
      </c>
      <c r="F15" s="41">
        <v>45999</v>
      </c>
      <c r="G15" s="41">
        <v>46002</v>
      </c>
      <c r="H15" s="42">
        <f t="shared" si="0"/>
        <v>3</v>
      </c>
      <c r="I15" s="40">
        <v>50</v>
      </c>
      <c r="J15" s="40">
        <v>50</v>
      </c>
      <c r="K15" s="43">
        <v>50</v>
      </c>
      <c r="L15" s="44">
        <v>316</v>
      </c>
      <c r="M15" s="45">
        <v>272.39999999999998</v>
      </c>
      <c r="N15" s="46">
        <f t="shared" si="1"/>
        <v>108.96</v>
      </c>
      <c r="O15" s="47">
        <f t="shared" si="2"/>
        <v>1.0895999999999999</v>
      </c>
    </row>
    <row r="16" spans="1:21" ht="39.75" customHeight="1">
      <c r="A16" s="39">
        <v>9</v>
      </c>
      <c r="B16" s="40" t="s">
        <v>36</v>
      </c>
      <c r="C16" s="59" t="s">
        <v>27</v>
      </c>
      <c r="D16" s="60"/>
      <c r="E16" s="40" t="s">
        <v>18</v>
      </c>
      <c r="F16" s="41">
        <v>45999</v>
      </c>
      <c r="G16" s="41">
        <v>46002</v>
      </c>
      <c r="H16" s="42">
        <f t="shared" si="0"/>
        <v>3</v>
      </c>
      <c r="I16" s="40">
        <v>50</v>
      </c>
      <c r="J16" s="40">
        <v>50</v>
      </c>
      <c r="K16" s="43">
        <v>50</v>
      </c>
      <c r="L16" s="44">
        <v>321</v>
      </c>
      <c r="M16" s="45">
        <v>272.7</v>
      </c>
      <c r="N16" s="46">
        <f t="shared" si="1"/>
        <v>109.08</v>
      </c>
      <c r="O16" s="47">
        <f t="shared" si="2"/>
        <v>1.0908</v>
      </c>
    </row>
    <row r="17" spans="1:21" ht="39.75" customHeight="1">
      <c r="A17" s="39">
        <v>10</v>
      </c>
      <c r="B17" s="40" t="s">
        <v>37</v>
      </c>
      <c r="C17" s="59" t="s">
        <v>27</v>
      </c>
      <c r="D17" s="60"/>
      <c r="E17" s="40" t="s">
        <v>18</v>
      </c>
      <c r="F17" s="41">
        <v>45999</v>
      </c>
      <c r="G17" s="41">
        <v>46002</v>
      </c>
      <c r="H17" s="42">
        <f t="shared" si="0"/>
        <v>3</v>
      </c>
      <c r="I17" s="40">
        <v>50</v>
      </c>
      <c r="J17" s="40">
        <v>50</v>
      </c>
      <c r="K17" s="43">
        <v>50</v>
      </c>
      <c r="L17" s="44">
        <v>316</v>
      </c>
      <c r="M17" s="45">
        <v>265.10000000000002</v>
      </c>
      <c r="N17" s="46">
        <f t="shared" si="1"/>
        <v>106.04</v>
      </c>
      <c r="O17" s="47">
        <f t="shared" si="2"/>
        <v>1.0604</v>
      </c>
    </row>
    <row r="18" spans="1:21" ht="39.75" customHeight="1">
      <c r="A18" s="39">
        <v>11</v>
      </c>
      <c r="B18" s="40" t="s">
        <v>38</v>
      </c>
      <c r="C18" s="59" t="s">
        <v>27</v>
      </c>
      <c r="D18" s="60"/>
      <c r="E18" s="40" t="s">
        <v>18</v>
      </c>
      <c r="F18" s="41">
        <v>45999</v>
      </c>
      <c r="G18" s="41">
        <v>46002</v>
      </c>
      <c r="H18" s="42">
        <f t="shared" si="0"/>
        <v>3</v>
      </c>
      <c r="I18" s="40">
        <v>50</v>
      </c>
      <c r="J18" s="40">
        <v>50</v>
      </c>
      <c r="K18" s="43">
        <v>50</v>
      </c>
      <c r="L18" s="44">
        <v>317</v>
      </c>
      <c r="M18" s="45">
        <v>239.7</v>
      </c>
      <c r="N18" s="54">
        <f t="shared" si="1"/>
        <v>95.88</v>
      </c>
      <c r="O18" s="47">
        <f t="shared" si="2"/>
        <v>0.95879999999999999</v>
      </c>
      <c r="Q18" s="51" t="s">
        <v>55</v>
      </c>
      <c r="R18" s="15" t="s">
        <v>56</v>
      </c>
      <c r="T18" s="15" t="s">
        <v>57</v>
      </c>
      <c r="U18" s="15" t="s">
        <v>58</v>
      </c>
    </row>
    <row r="19" spans="1:21" ht="39.75" customHeight="1">
      <c r="A19" s="31">
        <v>12</v>
      </c>
      <c r="B19" s="32" t="s">
        <v>39</v>
      </c>
      <c r="C19" s="57" t="s">
        <v>27</v>
      </c>
      <c r="D19" s="58"/>
      <c r="E19" s="32" t="s">
        <v>18</v>
      </c>
      <c r="F19" s="33">
        <v>45999</v>
      </c>
      <c r="G19" s="33">
        <v>46008</v>
      </c>
      <c r="H19" s="34">
        <f t="shared" ref="H19:H23" si="3">+G19-F19</f>
        <v>9</v>
      </c>
      <c r="I19" s="32">
        <v>50</v>
      </c>
      <c r="J19" s="32">
        <v>50</v>
      </c>
      <c r="K19" s="35">
        <v>50</v>
      </c>
      <c r="L19" s="38">
        <v>329</v>
      </c>
      <c r="M19" s="36">
        <v>293.60000000000002</v>
      </c>
      <c r="N19" s="48">
        <f t="shared" si="1"/>
        <v>117.44</v>
      </c>
      <c r="O19" s="49">
        <f t="shared" si="2"/>
        <v>1.1743999999999999</v>
      </c>
      <c r="Q19" s="52">
        <f>+AVERAGE(N19:N23,'INF. ROTURA (2)'!N8:N10)</f>
        <v>117.58500000000001</v>
      </c>
      <c r="R19" s="15">
        <f>+STDEVA(N19:N23,'INF. ROTURA (2)'!N8:N10)</f>
        <v>4.3581876967381756</v>
      </c>
      <c r="T19" s="52">
        <f>+Q19-R19</f>
        <v>113.22681230326184</v>
      </c>
      <c r="U19" s="52">
        <f>+Q19+R19</f>
        <v>121.94318769673818</v>
      </c>
    </row>
    <row r="20" spans="1:21" ht="39.75" customHeight="1">
      <c r="A20" s="31">
        <v>13</v>
      </c>
      <c r="B20" s="32" t="s">
        <v>40</v>
      </c>
      <c r="C20" s="57" t="s">
        <v>27</v>
      </c>
      <c r="D20" s="58"/>
      <c r="E20" s="32" t="s">
        <v>18</v>
      </c>
      <c r="F20" s="33">
        <v>45999</v>
      </c>
      <c r="G20" s="33">
        <v>46008</v>
      </c>
      <c r="H20" s="34">
        <f t="shared" si="3"/>
        <v>9</v>
      </c>
      <c r="I20" s="32">
        <v>50</v>
      </c>
      <c r="J20" s="32">
        <v>50</v>
      </c>
      <c r="K20" s="35">
        <v>50</v>
      </c>
      <c r="L20" s="38">
        <v>323</v>
      </c>
      <c r="M20" s="36">
        <v>275.7</v>
      </c>
      <c r="N20" s="55">
        <f t="shared" si="1"/>
        <v>110.28</v>
      </c>
      <c r="O20" s="49">
        <f t="shared" si="2"/>
        <v>1.1028</v>
      </c>
    </row>
    <row r="21" spans="1:21" ht="39.75" customHeight="1">
      <c r="A21" s="31">
        <v>14</v>
      </c>
      <c r="B21" s="32" t="s">
        <v>41</v>
      </c>
      <c r="C21" s="57" t="s">
        <v>27</v>
      </c>
      <c r="D21" s="58"/>
      <c r="E21" s="32" t="s">
        <v>18</v>
      </c>
      <c r="F21" s="33">
        <v>45999</v>
      </c>
      <c r="G21" s="33">
        <v>46008</v>
      </c>
      <c r="H21" s="34">
        <f t="shared" si="3"/>
        <v>9</v>
      </c>
      <c r="I21" s="32">
        <v>50</v>
      </c>
      <c r="J21" s="32">
        <v>50</v>
      </c>
      <c r="K21" s="35">
        <v>50</v>
      </c>
      <c r="L21" s="38">
        <v>317</v>
      </c>
      <c r="M21" s="36">
        <v>303</v>
      </c>
      <c r="N21" s="48">
        <f t="shared" si="1"/>
        <v>121.2</v>
      </c>
      <c r="O21" s="49">
        <f t="shared" si="2"/>
        <v>1.212</v>
      </c>
    </row>
    <row r="22" spans="1:21" ht="39.75" customHeight="1">
      <c r="A22" s="31">
        <v>15</v>
      </c>
      <c r="B22" s="32" t="s">
        <v>42</v>
      </c>
      <c r="C22" s="57" t="s">
        <v>27</v>
      </c>
      <c r="D22" s="58"/>
      <c r="E22" s="32" t="s">
        <v>18</v>
      </c>
      <c r="F22" s="33">
        <v>45999</v>
      </c>
      <c r="G22" s="33">
        <v>46008</v>
      </c>
      <c r="H22" s="34">
        <f t="shared" si="3"/>
        <v>9</v>
      </c>
      <c r="I22" s="32">
        <v>50</v>
      </c>
      <c r="J22" s="32">
        <v>50</v>
      </c>
      <c r="K22" s="35">
        <v>50</v>
      </c>
      <c r="L22" s="38">
        <v>318</v>
      </c>
      <c r="M22" s="36">
        <v>279.89999999999998</v>
      </c>
      <c r="N22" s="55">
        <f t="shared" si="1"/>
        <v>111.96</v>
      </c>
      <c r="O22" s="49">
        <f t="shared" si="2"/>
        <v>1.1195999999999999</v>
      </c>
    </row>
    <row r="23" spans="1:21" ht="39.75" customHeight="1" thickBot="1">
      <c r="A23" s="31">
        <v>16</v>
      </c>
      <c r="B23" s="32" t="s">
        <v>43</v>
      </c>
      <c r="C23" s="57" t="s">
        <v>27</v>
      </c>
      <c r="D23" s="58"/>
      <c r="E23" s="32" t="s">
        <v>18</v>
      </c>
      <c r="F23" s="33">
        <v>45999</v>
      </c>
      <c r="G23" s="33">
        <v>46008</v>
      </c>
      <c r="H23" s="34">
        <f t="shared" si="3"/>
        <v>9</v>
      </c>
      <c r="I23" s="32">
        <v>50</v>
      </c>
      <c r="J23" s="32">
        <v>50</v>
      </c>
      <c r="K23" s="35">
        <v>50</v>
      </c>
      <c r="L23" s="38">
        <v>322</v>
      </c>
      <c r="M23" s="36">
        <v>303.7</v>
      </c>
      <c r="N23" s="48">
        <f t="shared" si="1"/>
        <v>121.48</v>
      </c>
      <c r="O23" s="49">
        <f t="shared" si="2"/>
        <v>1.2148000000000001</v>
      </c>
    </row>
    <row r="24" spans="1:21" ht="30" customHeight="1">
      <c r="A24" s="72" t="s">
        <v>59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4"/>
      <c r="N24" s="74"/>
      <c r="O24" s="75"/>
    </row>
    <row r="25" spans="1:21" ht="19.95" customHeight="1" thickBot="1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8"/>
      <c r="N25" s="78"/>
      <c r="O25" s="79"/>
    </row>
    <row r="26" spans="1:21" s="1" customFormat="1" ht="30" customHeight="1" thickBot="1">
      <c r="A26" s="107" t="s">
        <v>2</v>
      </c>
      <c r="B26" s="108"/>
      <c r="C26" s="108"/>
      <c r="D26" s="108"/>
      <c r="E26" s="108"/>
      <c r="F26" s="108"/>
      <c r="G26" s="108"/>
      <c r="H26" s="108"/>
      <c r="I26" s="109"/>
      <c r="J26" s="88" t="s">
        <v>3</v>
      </c>
      <c r="K26" s="89"/>
      <c r="L26" s="89"/>
      <c r="M26" s="89"/>
      <c r="N26" s="89"/>
      <c r="O26" s="90"/>
      <c r="P26" s="15"/>
      <c r="Q26" s="15"/>
    </row>
    <row r="27" spans="1:21" s="1" customFormat="1" ht="85.05" customHeight="1">
      <c r="A27" s="9" t="s">
        <v>4</v>
      </c>
      <c r="B27" s="116"/>
      <c r="C27" s="10"/>
      <c r="D27" s="9" t="s">
        <v>4</v>
      </c>
      <c r="E27" s="116"/>
      <c r="F27" s="10"/>
      <c r="G27" s="9" t="s">
        <v>4</v>
      </c>
      <c r="H27" s="117"/>
      <c r="I27" s="7"/>
      <c r="J27" s="9" t="s">
        <v>4</v>
      </c>
      <c r="K27" s="10"/>
      <c r="L27" s="9" t="s">
        <v>4</v>
      </c>
      <c r="M27" s="7"/>
      <c r="N27" s="9" t="s">
        <v>4</v>
      </c>
      <c r="O27" s="7"/>
      <c r="P27" s="15"/>
      <c r="Q27" s="15"/>
    </row>
    <row r="28" spans="1:21" s="1" customFormat="1" ht="23.25" customHeight="1">
      <c r="A28" s="9" t="s">
        <v>5</v>
      </c>
      <c r="B28" s="116"/>
      <c r="C28" s="10"/>
      <c r="D28" s="9" t="s">
        <v>5</v>
      </c>
      <c r="E28" s="116"/>
      <c r="F28" s="10"/>
      <c r="G28" s="9" t="s">
        <v>5</v>
      </c>
      <c r="H28" s="117"/>
      <c r="I28" s="7"/>
      <c r="J28" s="9" t="s">
        <v>5</v>
      </c>
      <c r="K28" s="10"/>
      <c r="L28" s="9" t="s">
        <v>5</v>
      </c>
      <c r="M28" s="7"/>
      <c r="N28" s="9" t="s">
        <v>5</v>
      </c>
      <c r="O28" s="7"/>
      <c r="P28" s="15"/>
      <c r="Q28" s="15"/>
    </row>
    <row r="29" spans="1:21" ht="20.25" customHeight="1" thickBot="1">
      <c r="A29" s="11" t="s">
        <v>6</v>
      </c>
      <c r="B29" s="13"/>
      <c r="C29" s="14"/>
      <c r="D29" s="11" t="s">
        <v>6</v>
      </c>
      <c r="E29" s="13"/>
      <c r="F29" s="14"/>
      <c r="G29" s="11" t="s">
        <v>6</v>
      </c>
      <c r="H29" s="12"/>
      <c r="I29" s="8"/>
      <c r="J29" s="11" t="s">
        <v>6</v>
      </c>
      <c r="K29" s="22"/>
      <c r="L29" s="11" t="s">
        <v>6</v>
      </c>
      <c r="M29" s="8"/>
      <c r="N29" s="11" t="s">
        <v>6</v>
      </c>
      <c r="O29" s="8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J26:O26"/>
    <mergeCell ref="D1:M3"/>
    <mergeCell ref="N1:O3"/>
    <mergeCell ref="I6:I7"/>
    <mergeCell ref="J6:J7"/>
    <mergeCell ref="F6:F7"/>
    <mergeCell ref="M6:M7"/>
    <mergeCell ref="N6:N7"/>
    <mergeCell ref="G6:G7"/>
    <mergeCell ref="C6:D7"/>
    <mergeCell ref="E6:E7"/>
    <mergeCell ref="A26:I26"/>
    <mergeCell ref="C11:D11"/>
    <mergeCell ref="C22:D22"/>
    <mergeCell ref="C12:D12"/>
    <mergeCell ref="C13:D13"/>
    <mergeCell ref="A4:B4"/>
    <mergeCell ref="C4:O4"/>
    <mergeCell ref="A5:E5"/>
    <mergeCell ref="A1:C3"/>
    <mergeCell ref="A24:O25"/>
    <mergeCell ref="A6:A7"/>
    <mergeCell ref="B6:B7"/>
    <mergeCell ref="K6:K7"/>
    <mergeCell ref="L6:L7"/>
    <mergeCell ref="O6:O7"/>
    <mergeCell ref="F5:L5"/>
    <mergeCell ref="M5:O5"/>
    <mergeCell ref="H6:H7"/>
    <mergeCell ref="C8:D8"/>
    <mergeCell ref="C9:D9"/>
    <mergeCell ref="C10:D10"/>
    <mergeCell ref="C23:D23"/>
    <mergeCell ref="C14:D14"/>
    <mergeCell ref="C15:D15"/>
    <mergeCell ref="C16:D16"/>
    <mergeCell ref="C17:D17"/>
    <mergeCell ref="C18:D18"/>
    <mergeCell ref="C19:D19"/>
    <mergeCell ref="C20:D20"/>
    <mergeCell ref="C21:D21"/>
  </mergeCells>
  <phoneticPr fontId="10" type="noConversion"/>
  <printOptions horizontalCentered="1"/>
  <pageMargins left="0.70866141732283461" right="0.70866141732283461" top="0.74803149606299213" bottom="0.74803149606299213" header="0.31496062992125984" footer="0.31496062992125984"/>
  <pageSetup scale="42" orientation="landscape" r:id="rId1"/>
  <headerFooter>
    <oddFooter xml:space="preserve">&amp;L
&amp;R&amp;18 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1E1C-E2DA-491A-B2BB-DCF6D744DCFE}">
  <sheetPr>
    <tabColor rgb="FF0070C0"/>
    <pageSetUpPr fitToPage="1"/>
  </sheetPr>
  <dimension ref="A1:U29"/>
  <sheetViews>
    <sheetView showRuler="0" view="pageBreakPreview" zoomScale="70" zoomScaleNormal="70" zoomScaleSheetLayoutView="70" zoomScalePageLayoutView="49" workbookViewId="0">
      <selection activeCell="C34" sqref="C34"/>
    </sheetView>
  </sheetViews>
  <sheetFormatPr baseColWidth="10" defaultColWidth="10.6640625" defaultRowHeight="13.8"/>
  <cols>
    <col min="1" max="1" width="9.109375" style="23" customWidth="1"/>
    <col min="2" max="2" width="24" style="23" customWidth="1"/>
    <col min="3" max="3" width="28.109375" style="23" customWidth="1"/>
    <col min="4" max="4" width="17" style="23" customWidth="1"/>
    <col min="5" max="5" width="16.21875" style="23" customWidth="1"/>
    <col min="6" max="6" width="17.44140625" style="23" customWidth="1"/>
    <col min="7" max="7" width="15.77734375" style="23" customWidth="1"/>
    <col min="8" max="8" width="16.44140625" style="23" customWidth="1"/>
    <col min="9" max="9" width="18.21875" style="23" customWidth="1"/>
    <col min="10" max="10" width="23.5546875" style="24" customWidth="1"/>
    <col min="11" max="11" width="22.88671875" style="24" customWidth="1"/>
    <col min="12" max="12" width="20.44140625" style="23" customWidth="1"/>
    <col min="13" max="13" width="17.44140625" style="23" customWidth="1"/>
    <col min="14" max="14" width="24.88671875" style="23" customWidth="1"/>
    <col min="15" max="15" width="18.109375" style="15" customWidth="1"/>
    <col min="16" max="16384" width="10.6640625" style="15"/>
  </cols>
  <sheetData>
    <row r="1" spans="1:21" ht="24.75" customHeight="1">
      <c r="A1" s="68" t="s">
        <v>0</v>
      </c>
      <c r="B1" s="69"/>
      <c r="C1" s="69"/>
      <c r="D1" s="91" t="s">
        <v>26</v>
      </c>
      <c r="E1" s="92"/>
      <c r="F1" s="92"/>
      <c r="G1" s="92"/>
      <c r="H1" s="92"/>
      <c r="I1" s="92"/>
      <c r="J1" s="92"/>
      <c r="K1" s="92"/>
      <c r="L1" s="92"/>
      <c r="M1" s="93"/>
      <c r="N1" s="99" t="s">
        <v>47</v>
      </c>
      <c r="O1" s="100"/>
    </row>
    <row r="2" spans="1:21" ht="28.5" customHeight="1">
      <c r="A2" s="70"/>
      <c r="B2" s="71"/>
      <c r="C2" s="71"/>
      <c r="D2" s="94"/>
      <c r="E2" s="114"/>
      <c r="F2" s="114"/>
      <c r="G2" s="114"/>
      <c r="H2" s="114"/>
      <c r="I2" s="114"/>
      <c r="J2" s="114"/>
      <c r="K2" s="114"/>
      <c r="L2" s="114"/>
      <c r="M2" s="95"/>
      <c r="N2" s="101"/>
      <c r="O2" s="102"/>
    </row>
    <row r="3" spans="1:21" ht="43.5" customHeight="1">
      <c r="A3" s="70"/>
      <c r="B3" s="71"/>
      <c r="C3" s="71"/>
      <c r="D3" s="96"/>
      <c r="E3" s="97"/>
      <c r="F3" s="97"/>
      <c r="G3" s="97"/>
      <c r="H3" s="97"/>
      <c r="I3" s="97"/>
      <c r="J3" s="97"/>
      <c r="K3" s="97"/>
      <c r="L3" s="97"/>
      <c r="M3" s="98"/>
      <c r="N3" s="101"/>
      <c r="O3" s="102"/>
    </row>
    <row r="4" spans="1:21" ht="35.25" customHeight="1">
      <c r="A4" s="61" t="s">
        <v>7</v>
      </c>
      <c r="B4" s="62"/>
      <c r="C4" s="63" t="s">
        <v>8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5"/>
    </row>
    <row r="5" spans="1:21" ht="34.5" customHeight="1" thickBot="1">
      <c r="A5" s="66" t="s">
        <v>9</v>
      </c>
      <c r="B5" s="67"/>
      <c r="C5" s="67"/>
      <c r="D5" s="67"/>
      <c r="E5" s="67"/>
      <c r="F5" s="82" t="s">
        <v>25</v>
      </c>
      <c r="G5" s="83"/>
      <c r="H5" s="83"/>
      <c r="I5" s="83"/>
      <c r="J5" s="83"/>
      <c r="K5" s="83"/>
      <c r="L5" s="84"/>
      <c r="M5" s="85" t="s">
        <v>10</v>
      </c>
      <c r="N5" s="86"/>
      <c r="O5" s="87"/>
    </row>
    <row r="6" spans="1:21" ht="28.5" customHeight="1">
      <c r="A6" s="80" t="s">
        <v>1</v>
      </c>
      <c r="B6" s="80" t="s">
        <v>11</v>
      </c>
      <c r="C6" s="103" t="s">
        <v>12</v>
      </c>
      <c r="D6" s="104"/>
      <c r="E6" s="80" t="s">
        <v>13</v>
      </c>
      <c r="F6" s="80" t="s">
        <v>14</v>
      </c>
      <c r="G6" s="80" t="s">
        <v>15</v>
      </c>
      <c r="H6" s="80" t="s">
        <v>16</v>
      </c>
      <c r="I6" s="80" t="s">
        <v>20</v>
      </c>
      <c r="J6" s="80" t="s">
        <v>19</v>
      </c>
      <c r="K6" s="80" t="s">
        <v>21</v>
      </c>
      <c r="L6" s="80" t="s">
        <v>17</v>
      </c>
      <c r="M6" s="80" t="s">
        <v>22</v>
      </c>
      <c r="N6" s="80" t="s">
        <v>23</v>
      </c>
      <c r="O6" s="80" t="s">
        <v>24</v>
      </c>
    </row>
    <row r="7" spans="1:21" ht="36.75" customHeight="1" thickBot="1">
      <c r="A7" s="81"/>
      <c r="B7" s="81"/>
      <c r="C7" s="105"/>
      <c r="D7" s="106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</row>
    <row r="8" spans="1:21" ht="39.75" customHeight="1">
      <c r="A8" s="31">
        <v>17</v>
      </c>
      <c r="B8" s="32" t="s">
        <v>44</v>
      </c>
      <c r="C8" s="57" t="s">
        <v>27</v>
      </c>
      <c r="D8" s="58"/>
      <c r="E8" s="32" t="s">
        <v>18</v>
      </c>
      <c r="F8" s="33">
        <v>45999</v>
      </c>
      <c r="G8" s="33">
        <v>46008</v>
      </c>
      <c r="H8" s="34">
        <f>+G8-F8</f>
        <v>9</v>
      </c>
      <c r="I8" s="32">
        <v>50</v>
      </c>
      <c r="J8" s="32">
        <v>50</v>
      </c>
      <c r="K8" s="35">
        <v>50</v>
      </c>
      <c r="L8" s="36">
        <v>317</v>
      </c>
      <c r="M8" s="36">
        <v>303.8</v>
      </c>
      <c r="N8" s="37">
        <f>+(M8*1000)/(I8*J8)</f>
        <v>121.52</v>
      </c>
      <c r="O8" s="115">
        <f>+N8/100</f>
        <v>1.2152000000000001</v>
      </c>
    </row>
    <row r="9" spans="1:21" ht="39.75" customHeight="1">
      <c r="A9" s="31">
        <v>18</v>
      </c>
      <c r="B9" s="32" t="s">
        <v>45</v>
      </c>
      <c r="C9" s="57" t="s">
        <v>27</v>
      </c>
      <c r="D9" s="58"/>
      <c r="E9" s="32" t="s">
        <v>18</v>
      </c>
      <c r="F9" s="33">
        <v>45999</v>
      </c>
      <c r="G9" s="33">
        <v>46008</v>
      </c>
      <c r="H9" s="34">
        <f t="shared" ref="H9:H16" si="0">+G9-F9</f>
        <v>9</v>
      </c>
      <c r="I9" s="32">
        <v>50</v>
      </c>
      <c r="J9" s="32">
        <v>50</v>
      </c>
      <c r="K9" s="35">
        <v>50</v>
      </c>
      <c r="L9" s="38">
        <v>322</v>
      </c>
      <c r="M9" s="36">
        <v>293</v>
      </c>
      <c r="N9" s="37">
        <f t="shared" ref="N9:N16" si="1">+(M9*1000)/(I9*J9)</f>
        <v>117.2</v>
      </c>
      <c r="O9" s="115">
        <f t="shared" ref="O9:O16" si="2">+N9/100</f>
        <v>1.1719999999999999</v>
      </c>
    </row>
    <row r="10" spans="1:21" ht="39.75" customHeight="1">
      <c r="A10" s="31">
        <v>19</v>
      </c>
      <c r="B10" s="32" t="s">
        <v>46</v>
      </c>
      <c r="C10" s="57" t="s">
        <v>27</v>
      </c>
      <c r="D10" s="58"/>
      <c r="E10" s="32" t="s">
        <v>18</v>
      </c>
      <c r="F10" s="33">
        <v>45999</v>
      </c>
      <c r="G10" s="33">
        <v>46008</v>
      </c>
      <c r="H10" s="34">
        <f t="shared" si="0"/>
        <v>9</v>
      </c>
      <c r="I10" s="32">
        <v>50</v>
      </c>
      <c r="J10" s="32">
        <v>50</v>
      </c>
      <c r="K10" s="35">
        <v>50</v>
      </c>
      <c r="L10" s="38">
        <v>320</v>
      </c>
      <c r="M10" s="36">
        <v>299</v>
      </c>
      <c r="N10" s="37">
        <f t="shared" si="1"/>
        <v>119.6</v>
      </c>
      <c r="O10" s="115">
        <f t="shared" si="2"/>
        <v>1.196</v>
      </c>
      <c r="Q10" s="51" t="s">
        <v>55</v>
      </c>
      <c r="R10" s="15" t="s">
        <v>56</v>
      </c>
      <c r="T10" s="15" t="s">
        <v>57</v>
      </c>
      <c r="U10" s="15" t="s">
        <v>58</v>
      </c>
    </row>
    <row r="11" spans="1:21" ht="39.75" customHeight="1">
      <c r="A11" s="39">
        <v>20</v>
      </c>
      <c r="B11" s="40" t="s">
        <v>49</v>
      </c>
      <c r="C11" s="59" t="s">
        <v>27</v>
      </c>
      <c r="D11" s="60"/>
      <c r="E11" s="40" t="s">
        <v>18</v>
      </c>
      <c r="F11" s="41">
        <v>45999</v>
      </c>
      <c r="G11" s="41">
        <v>46027</v>
      </c>
      <c r="H11" s="42">
        <f t="shared" si="0"/>
        <v>28</v>
      </c>
      <c r="I11" s="40">
        <v>50</v>
      </c>
      <c r="J11" s="40">
        <v>50</v>
      </c>
      <c r="K11" s="43">
        <v>50</v>
      </c>
      <c r="L11" s="44">
        <v>325</v>
      </c>
      <c r="M11" s="45">
        <v>299</v>
      </c>
      <c r="N11" s="56">
        <f t="shared" si="1"/>
        <v>119.6</v>
      </c>
      <c r="O11" s="118">
        <f t="shared" si="2"/>
        <v>1.196</v>
      </c>
      <c r="Q11" s="52">
        <f>+AVERAGE(N11:N16)</f>
        <v>124.80000000000001</v>
      </c>
      <c r="R11" s="15">
        <f>+STDEVA(N11:N16)</f>
        <v>4.1107858129559629</v>
      </c>
      <c r="T11" s="52">
        <f>+Q11-R11</f>
        <v>120.68921418704404</v>
      </c>
      <c r="U11" s="52">
        <f>+Q11+R11</f>
        <v>128.91078581295596</v>
      </c>
    </row>
    <row r="12" spans="1:21" ht="39.75" customHeight="1">
      <c r="A12" s="39">
        <v>21</v>
      </c>
      <c r="B12" s="40" t="s">
        <v>50</v>
      </c>
      <c r="C12" s="59" t="s">
        <v>27</v>
      </c>
      <c r="D12" s="60"/>
      <c r="E12" s="40" t="s">
        <v>18</v>
      </c>
      <c r="F12" s="41">
        <v>45999</v>
      </c>
      <c r="G12" s="41">
        <v>46027</v>
      </c>
      <c r="H12" s="42">
        <f t="shared" si="0"/>
        <v>28</v>
      </c>
      <c r="I12" s="40">
        <v>50</v>
      </c>
      <c r="J12" s="40">
        <v>50</v>
      </c>
      <c r="K12" s="43">
        <v>50</v>
      </c>
      <c r="L12" s="44">
        <v>322</v>
      </c>
      <c r="M12" s="45">
        <v>318</v>
      </c>
      <c r="N12" s="50">
        <f t="shared" si="1"/>
        <v>127.2</v>
      </c>
      <c r="O12" s="118">
        <f t="shared" si="2"/>
        <v>1.272</v>
      </c>
    </row>
    <row r="13" spans="1:21" ht="39.75" customHeight="1">
      <c r="A13" s="39">
        <v>22</v>
      </c>
      <c r="B13" s="40" t="s">
        <v>51</v>
      </c>
      <c r="C13" s="59" t="s">
        <v>27</v>
      </c>
      <c r="D13" s="60"/>
      <c r="E13" s="40" t="s">
        <v>18</v>
      </c>
      <c r="F13" s="41">
        <v>45999</v>
      </c>
      <c r="G13" s="41">
        <v>46027</v>
      </c>
      <c r="H13" s="42">
        <f t="shared" si="0"/>
        <v>28</v>
      </c>
      <c r="I13" s="40">
        <v>50</v>
      </c>
      <c r="J13" s="40">
        <v>50</v>
      </c>
      <c r="K13" s="43">
        <v>50</v>
      </c>
      <c r="L13" s="44">
        <v>315</v>
      </c>
      <c r="M13" s="45">
        <v>302</v>
      </c>
      <c r="N13" s="50">
        <f t="shared" si="1"/>
        <v>120.8</v>
      </c>
      <c r="O13" s="118">
        <f t="shared" si="2"/>
        <v>1.208</v>
      </c>
    </row>
    <row r="14" spans="1:21" ht="39.75" customHeight="1">
      <c r="A14" s="39">
        <v>23</v>
      </c>
      <c r="B14" s="40" t="s">
        <v>52</v>
      </c>
      <c r="C14" s="59" t="s">
        <v>27</v>
      </c>
      <c r="D14" s="60"/>
      <c r="E14" s="40" t="s">
        <v>18</v>
      </c>
      <c r="F14" s="41">
        <v>45999</v>
      </c>
      <c r="G14" s="41">
        <v>46027</v>
      </c>
      <c r="H14" s="42">
        <f t="shared" si="0"/>
        <v>28</v>
      </c>
      <c r="I14" s="40">
        <v>50</v>
      </c>
      <c r="J14" s="40">
        <v>50</v>
      </c>
      <c r="K14" s="43">
        <v>50</v>
      </c>
      <c r="L14" s="44">
        <v>318</v>
      </c>
      <c r="M14" s="45">
        <v>314</v>
      </c>
      <c r="N14" s="50">
        <f t="shared" si="1"/>
        <v>125.6</v>
      </c>
      <c r="O14" s="118">
        <f t="shared" si="2"/>
        <v>1.256</v>
      </c>
    </row>
    <row r="15" spans="1:21" ht="39.75" customHeight="1">
      <c r="A15" s="39">
        <v>24</v>
      </c>
      <c r="B15" s="40" t="s">
        <v>53</v>
      </c>
      <c r="C15" s="59" t="s">
        <v>27</v>
      </c>
      <c r="D15" s="60"/>
      <c r="E15" s="40" t="s">
        <v>18</v>
      </c>
      <c r="F15" s="41">
        <v>45999</v>
      </c>
      <c r="G15" s="41">
        <v>46027</v>
      </c>
      <c r="H15" s="42">
        <f t="shared" si="0"/>
        <v>28</v>
      </c>
      <c r="I15" s="40">
        <v>50</v>
      </c>
      <c r="J15" s="40">
        <v>50</v>
      </c>
      <c r="K15" s="43">
        <v>50</v>
      </c>
      <c r="L15" s="44">
        <v>324</v>
      </c>
      <c r="M15" s="45">
        <v>312.2</v>
      </c>
      <c r="N15" s="50">
        <f t="shared" si="1"/>
        <v>124.88</v>
      </c>
      <c r="O15" s="118">
        <f t="shared" si="2"/>
        <v>1.2487999999999999</v>
      </c>
    </row>
    <row r="16" spans="1:21" ht="39.75" customHeight="1">
      <c r="A16" s="39">
        <v>25</v>
      </c>
      <c r="B16" s="40" t="s">
        <v>54</v>
      </c>
      <c r="C16" s="59" t="s">
        <v>27</v>
      </c>
      <c r="D16" s="60"/>
      <c r="E16" s="40" t="s">
        <v>18</v>
      </c>
      <c r="F16" s="41">
        <v>45999</v>
      </c>
      <c r="G16" s="41">
        <v>46027</v>
      </c>
      <c r="H16" s="42">
        <f t="shared" si="0"/>
        <v>28</v>
      </c>
      <c r="I16" s="40">
        <v>50</v>
      </c>
      <c r="J16" s="40">
        <v>50</v>
      </c>
      <c r="K16" s="43">
        <v>50</v>
      </c>
      <c r="L16" s="44">
        <v>323</v>
      </c>
      <c r="M16" s="45">
        <v>326.8</v>
      </c>
      <c r="N16" s="56">
        <f t="shared" si="1"/>
        <v>130.72</v>
      </c>
      <c r="O16" s="118">
        <f t="shared" si="2"/>
        <v>1.3071999999999999</v>
      </c>
    </row>
    <row r="17" spans="1:17" ht="39.75" customHeight="1">
      <c r="A17" s="5"/>
      <c r="B17" s="2"/>
      <c r="C17" s="110"/>
      <c r="D17" s="111"/>
      <c r="E17" s="2"/>
      <c r="F17" s="6"/>
      <c r="G17" s="6"/>
      <c r="H17" s="26"/>
      <c r="I17" s="2"/>
      <c r="J17" s="2"/>
      <c r="K17" s="17"/>
      <c r="L17" s="28"/>
      <c r="M17" s="27"/>
      <c r="N17" s="29"/>
      <c r="O17" s="30"/>
    </row>
    <row r="18" spans="1:17" ht="39.75" customHeight="1">
      <c r="A18" s="5"/>
      <c r="B18" s="2"/>
      <c r="C18" s="110"/>
      <c r="D18" s="111"/>
      <c r="E18" s="2"/>
      <c r="F18" s="6"/>
      <c r="G18" s="6"/>
      <c r="H18" s="26"/>
      <c r="I18" s="2"/>
      <c r="J18" s="2"/>
      <c r="K18" s="17"/>
      <c r="L18" s="28"/>
      <c r="M18" s="27"/>
      <c r="N18" s="29"/>
      <c r="O18" s="30"/>
    </row>
    <row r="19" spans="1:17" ht="39.75" customHeight="1">
      <c r="A19" s="5"/>
      <c r="B19" s="3"/>
      <c r="C19" s="112"/>
      <c r="D19" s="113"/>
      <c r="E19" s="3"/>
      <c r="F19" s="3"/>
      <c r="G19" s="6"/>
      <c r="H19" s="26"/>
      <c r="I19" s="3"/>
      <c r="J19" s="4"/>
      <c r="K19" s="4"/>
      <c r="L19" s="17"/>
      <c r="M19" s="18"/>
      <c r="N19" s="19"/>
      <c r="O19" s="20"/>
    </row>
    <row r="20" spans="1:17" ht="39.75" customHeight="1">
      <c r="A20" s="5"/>
      <c r="B20" s="3"/>
      <c r="C20" s="112"/>
      <c r="D20" s="113"/>
      <c r="E20" s="3"/>
      <c r="F20" s="3"/>
      <c r="G20" s="6"/>
      <c r="H20" s="26"/>
      <c r="I20" s="3"/>
      <c r="J20" s="4"/>
      <c r="K20" s="4"/>
      <c r="L20" s="17"/>
      <c r="M20" s="18"/>
      <c r="N20" s="19"/>
      <c r="O20" s="20"/>
    </row>
    <row r="21" spans="1:17" ht="39.75" customHeight="1">
      <c r="A21" s="5"/>
      <c r="B21" s="21"/>
      <c r="C21" s="112"/>
      <c r="D21" s="113"/>
      <c r="E21" s="3"/>
      <c r="F21" s="21"/>
      <c r="G21" s="6"/>
      <c r="H21" s="26"/>
      <c r="I21" s="21"/>
      <c r="J21" s="16"/>
      <c r="K21" s="16"/>
      <c r="L21" s="17"/>
      <c r="M21" s="18"/>
      <c r="N21" s="19"/>
      <c r="O21" s="20"/>
    </row>
    <row r="22" spans="1:17" ht="39.75" customHeight="1">
      <c r="A22" s="5"/>
      <c r="B22" s="3"/>
      <c r="C22" s="112"/>
      <c r="D22" s="113"/>
      <c r="E22" s="3"/>
      <c r="F22" s="3"/>
      <c r="G22" s="6"/>
      <c r="H22" s="26"/>
      <c r="I22" s="3"/>
      <c r="J22" s="4"/>
      <c r="K22" s="4"/>
      <c r="L22" s="17"/>
      <c r="M22" s="18"/>
      <c r="N22" s="19"/>
      <c r="O22" s="20"/>
    </row>
    <row r="23" spans="1:17" ht="39.75" customHeight="1" thickBot="1">
      <c r="A23" s="5"/>
      <c r="B23" s="3"/>
      <c r="C23" s="112"/>
      <c r="D23" s="113"/>
      <c r="E23" s="25"/>
      <c r="F23" s="3"/>
      <c r="G23" s="6"/>
      <c r="H23" s="26"/>
      <c r="I23" s="3"/>
      <c r="J23" s="4"/>
      <c r="K23" s="4"/>
      <c r="L23" s="21"/>
      <c r="M23" s="19"/>
      <c r="N23" s="19"/>
      <c r="O23" s="20"/>
    </row>
    <row r="24" spans="1:17" ht="30" customHeight="1">
      <c r="A24" s="72" t="s">
        <v>59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4"/>
      <c r="N24" s="74"/>
      <c r="O24" s="75"/>
    </row>
    <row r="25" spans="1:17" ht="19.95" customHeight="1" thickBot="1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8"/>
      <c r="N25" s="78"/>
      <c r="O25" s="79"/>
    </row>
    <row r="26" spans="1:17" s="1" customFormat="1" ht="30" customHeight="1" thickBot="1">
      <c r="A26" s="107" t="s">
        <v>2</v>
      </c>
      <c r="B26" s="108"/>
      <c r="C26" s="108"/>
      <c r="D26" s="108"/>
      <c r="E26" s="108"/>
      <c r="F26" s="108"/>
      <c r="G26" s="108"/>
      <c r="H26" s="108"/>
      <c r="I26" s="109"/>
      <c r="J26" s="88" t="s">
        <v>3</v>
      </c>
      <c r="K26" s="89"/>
      <c r="L26" s="89"/>
      <c r="M26" s="89"/>
      <c r="N26" s="89"/>
      <c r="O26" s="90"/>
      <c r="P26" s="15"/>
      <c r="Q26" s="15"/>
    </row>
    <row r="27" spans="1:17" s="1" customFormat="1" ht="85.05" customHeight="1">
      <c r="A27" s="9" t="s">
        <v>4</v>
      </c>
      <c r="B27" s="116"/>
      <c r="C27" s="10"/>
      <c r="D27" s="9" t="s">
        <v>4</v>
      </c>
      <c r="E27" s="116"/>
      <c r="F27" s="10"/>
      <c r="G27" s="9" t="s">
        <v>4</v>
      </c>
      <c r="H27" s="117"/>
      <c r="I27" s="7"/>
      <c r="J27" s="9" t="s">
        <v>4</v>
      </c>
      <c r="K27" s="10"/>
      <c r="L27" s="9" t="s">
        <v>4</v>
      </c>
      <c r="M27" s="7"/>
      <c r="N27" s="9" t="s">
        <v>4</v>
      </c>
      <c r="O27" s="7"/>
      <c r="P27" s="15"/>
      <c r="Q27" s="15"/>
    </row>
    <row r="28" spans="1:17" s="1" customFormat="1" ht="23.25" customHeight="1">
      <c r="A28" s="9" t="s">
        <v>5</v>
      </c>
      <c r="B28" s="116"/>
      <c r="C28" s="10"/>
      <c r="D28" s="9" t="s">
        <v>5</v>
      </c>
      <c r="E28" s="116"/>
      <c r="F28" s="10"/>
      <c r="G28" s="9" t="s">
        <v>5</v>
      </c>
      <c r="H28" s="117"/>
      <c r="I28" s="7"/>
      <c r="J28" s="9" t="s">
        <v>5</v>
      </c>
      <c r="K28" s="10"/>
      <c r="L28" s="9" t="s">
        <v>5</v>
      </c>
      <c r="M28" s="7"/>
      <c r="N28" s="9" t="s">
        <v>5</v>
      </c>
      <c r="O28" s="7"/>
      <c r="P28" s="15"/>
      <c r="Q28" s="15"/>
    </row>
    <row r="29" spans="1:17" ht="20.25" customHeight="1" thickBot="1">
      <c r="A29" s="11" t="s">
        <v>6</v>
      </c>
      <c r="B29" s="13"/>
      <c r="C29" s="14"/>
      <c r="D29" s="11" t="s">
        <v>6</v>
      </c>
      <c r="E29" s="13"/>
      <c r="F29" s="14"/>
      <c r="G29" s="11" t="s">
        <v>6</v>
      </c>
      <c r="H29" s="12"/>
      <c r="I29" s="8"/>
      <c r="J29" s="11" t="s">
        <v>6</v>
      </c>
      <c r="K29" s="22"/>
      <c r="L29" s="11" t="s">
        <v>6</v>
      </c>
      <c r="M29" s="8"/>
      <c r="N29" s="11" t="s">
        <v>6</v>
      </c>
      <c r="O29" s="8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A5:E5"/>
    <mergeCell ref="F5:L5"/>
    <mergeCell ref="M5:O5"/>
    <mergeCell ref="A1:C3"/>
    <mergeCell ref="D1:M3"/>
    <mergeCell ref="N1:O3"/>
    <mergeCell ref="A4:B4"/>
    <mergeCell ref="C4:O4"/>
    <mergeCell ref="C12:D12"/>
    <mergeCell ref="C13:D13"/>
    <mergeCell ref="A6:A7"/>
    <mergeCell ref="B6:B7"/>
    <mergeCell ref="C6:D7"/>
    <mergeCell ref="C11:D11"/>
    <mergeCell ref="C9:D9"/>
    <mergeCell ref="C10:D10"/>
    <mergeCell ref="E6:E7"/>
    <mergeCell ref="F6:F7"/>
    <mergeCell ref="N6:N7"/>
    <mergeCell ref="O6:O7"/>
    <mergeCell ref="C8:D8"/>
    <mergeCell ref="L6:L7"/>
    <mergeCell ref="M6:M7"/>
    <mergeCell ref="H6:H7"/>
    <mergeCell ref="I6:I7"/>
    <mergeCell ref="J6:J7"/>
    <mergeCell ref="K6:K7"/>
    <mergeCell ref="G6:G7"/>
    <mergeCell ref="C14:D14"/>
    <mergeCell ref="C15:D15"/>
    <mergeCell ref="C16:D16"/>
    <mergeCell ref="A24:O25"/>
    <mergeCell ref="A26:I26"/>
    <mergeCell ref="C18:D18"/>
    <mergeCell ref="C19:D19"/>
    <mergeCell ref="C20:D20"/>
    <mergeCell ref="C21:D21"/>
    <mergeCell ref="C22:D22"/>
    <mergeCell ref="C23:D23"/>
    <mergeCell ref="C17:D17"/>
    <mergeCell ref="J26:O26"/>
  </mergeCells>
  <phoneticPr fontId="13" type="noConversion"/>
  <printOptions horizontalCentered="1"/>
  <pageMargins left="0.70866141732283461" right="0.70866141732283461" top="0.74803149606299213" bottom="0.74803149606299213" header="0.31496062992125984" footer="0.31496062992125984"/>
  <pageSetup scale="42" orientation="landscape" r:id="rId1"/>
  <headerFooter>
    <oddFooter xml:space="preserve">&amp;L
&amp;R&amp;18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INF. ROTURA</vt:lpstr>
      <vt:lpstr>INF. ROTURA (2)</vt:lpstr>
      <vt:lpstr>'INF. ROTURA'!Área_de_impresión</vt:lpstr>
      <vt:lpstr>'INF. ROTURA (2)'!Área_de_impresión</vt:lpstr>
      <vt:lpstr>'INF. ROTURA'!Títulos_a_imprimir</vt:lpstr>
      <vt:lpstr>'INF. ROTURA (2)'!Títulos_a_imprimir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AKKAAAM</dc:creator>
  <cp:lastModifiedBy>luis fernando torrico moscoso</cp:lastModifiedBy>
  <cp:lastPrinted>2026-01-08T18:09:28Z</cp:lastPrinted>
  <dcterms:created xsi:type="dcterms:W3CDTF">2014-03-05T16:59:54Z</dcterms:created>
  <dcterms:modified xsi:type="dcterms:W3CDTF">2026-01-08T18:09:37Z</dcterms:modified>
</cp:coreProperties>
</file>