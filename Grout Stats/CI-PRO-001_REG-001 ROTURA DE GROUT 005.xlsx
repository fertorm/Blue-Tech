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5 AG-08 (22-12-25)\"/>
    </mc:Choice>
  </mc:AlternateContent>
  <xr:revisionPtr revIDLastSave="0" documentId="13_ncr:1_{1217563E-871D-40FA-B1E9-A858C94BAF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7" i="1" l="1"/>
  <c r="Q17" i="1"/>
  <c r="S17" i="1" s="1"/>
  <c r="R12" i="1"/>
  <c r="Q12" i="1"/>
  <c r="T12" i="1" s="1"/>
  <c r="R8" i="1"/>
  <c r="T8" i="1" s="1"/>
  <c r="Q8" i="1"/>
  <c r="T17" i="1" l="1"/>
  <c r="S12" i="1"/>
  <c r="S8" i="1"/>
  <c r="N21" i="1"/>
  <c r="O21" i="1" s="1"/>
  <c r="N20" i="1"/>
  <c r="O20" i="1" s="1"/>
  <c r="N19" i="1"/>
  <c r="O19" i="1" s="1"/>
  <c r="N18" i="1"/>
  <c r="O18" i="1"/>
  <c r="N17" i="1"/>
  <c r="O17" i="1" s="1"/>
  <c r="H18" i="1"/>
  <c r="H19" i="1"/>
  <c r="H20" i="1"/>
  <c r="H21" i="1"/>
  <c r="H17" i="1"/>
  <c r="N16" i="1"/>
  <c r="O16" i="1" s="1"/>
  <c r="N15" i="1"/>
  <c r="O15" i="1" s="1"/>
  <c r="N14" i="1"/>
  <c r="O14" i="1" s="1"/>
  <c r="N13" i="1"/>
  <c r="O13" i="1"/>
  <c r="N12" i="1"/>
  <c r="O12" i="1" s="1"/>
  <c r="H13" i="1"/>
  <c r="H14" i="1"/>
  <c r="H15" i="1"/>
  <c r="H16" i="1"/>
  <c r="H12" i="1"/>
  <c r="O9" i="1"/>
  <c r="N9" i="1"/>
  <c r="N10" i="1"/>
  <c r="O10" i="1" s="1"/>
  <c r="N11" i="1"/>
  <c r="O11" i="1" s="1"/>
  <c r="H9" i="1"/>
  <c r="H10" i="1"/>
  <c r="H11" i="1"/>
  <c r="H8" i="1"/>
  <c r="N8" i="1"/>
  <c r="O8" i="1" s="1"/>
</calcChain>
</file>

<file path=xl/sharedStrings.xml><?xml version="1.0" encoding="utf-8"?>
<sst xmlns="http://schemas.openxmlformats.org/spreadsheetml/2006/main" count="97" uniqueCount="52">
  <si>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</si>
  <si>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</si>
  <si>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</si>
  <si>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</si>
  <si>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</si>
  <si>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</si>
  <si>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</si>
  <si>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</si>
  <si>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</si>
  <si>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</si>
  <si>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</si>
  <si>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</si>
  <si>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</si>
  <si>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</si>
  <si>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</si>
  <si>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</si>
  <si>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</si>
  <si>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</si>
  <si>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</si>
  <si>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</si>
  <si>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</si>
  <si>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</si>
  <si>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</si>
  <si>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</si>
  <si>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</si>
  <si>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</si>
  <si>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 xml:space="preserve">
FECHA:  27/11/2024
Rev. 0   PAG: 1 DE 1
INFORME N°: 05</t>
  </si>
  <si>
    <t>TE-0107</t>
  </si>
  <si>
    <t>TE-0108</t>
  </si>
  <si>
    <t>TE-0109</t>
  </si>
  <si>
    <t>TE-0110</t>
  </si>
  <si>
    <t>TE-117</t>
  </si>
  <si>
    <t>TE-118</t>
  </si>
  <si>
    <t>TE-119</t>
  </si>
  <si>
    <t>TE-120</t>
  </si>
  <si>
    <t>TE-121</t>
  </si>
  <si>
    <t>Aerogenerador #08</t>
  </si>
  <si>
    <t>DISEÑO, PROVISION, TRANSPORTE, MONTAJE, INSTALACION, PRUEBAS Y PUESTA EN MARCHA DE AEROGENERADORES PARA EL PROYECTO PARQUE EOLICO WARNES II - SANTA CRUZ</t>
  </si>
  <si>
    <t>TE-122</t>
  </si>
  <si>
    <t>TE-123</t>
  </si>
  <si>
    <t>TE-124</t>
  </si>
  <si>
    <t>TE-125</t>
  </si>
  <si>
    <t>TE-126</t>
  </si>
  <si>
    <t>Sikagrout 9401</t>
  </si>
  <si>
    <t>Sikagrout 9402</t>
  </si>
  <si>
    <t>Sikagrout 9403</t>
  </si>
  <si>
    <t>Sikagrout 9404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</si>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</sst>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0" fontId="4" fillId="0" borderId="1" xfId="0" applyFont="1" applyBorder="1" applyAlignment="1">
      <alignment horizontal="left" vertical="top" wrapText="1"/>
    </xf>
    <xf numFmtId="0" fontId="8" fillId="0" borderId="0" xfId="0" applyFont="1" applyBorder="1" applyAlignment="1">
      <alignment horizontal="center" vertical="center" wrapText="1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zoomScale="70" zoomScaleNormal="70" zoomScaleSheetLayoutView="70" zoomScalePageLayoutView="49" workbookViewId="0">
      <selection activeCell="N1" sqref="A1:O29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51" t="s">
        <v>0</v>
      </c>
      <c r="B1" s="52"/>
      <c r="C1" s="52"/>
      <c r="D1" s="68" t="s">
        <v>25</v>
      </c>
      <c r="E1" s="69"/>
      <c r="F1" s="69"/>
      <c r="G1" s="69"/>
      <c r="H1" s="69"/>
      <c r="I1" s="69"/>
      <c r="J1" s="69"/>
      <c r="K1" s="69"/>
      <c r="L1" s="69"/>
      <c r="M1" s="70"/>
      <c r="N1" s="76" t="s">
        <v>26</v>
      </c>
      <c r="O1" s="77"/>
    </row>
    <row r="2" spans="1:20" ht="28.5" customHeight="1">
      <c r="A2" s="53"/>
      <c r="B2" s="54"/>
      <c r="C2" s="54"/>
      <c r="D2" s="71"/>
      <c r="E2" s="100"/>
      <c r="F2" s="100"/>
      <c r="G2" s="100"/>
      <c r="H2" s="100"/>
      <c r="I2" s="100"/>
      <c r="J2" s="100"/>
      <c r="K2" s="100"/>
      <c r="L2" s="100"/>
      <c r="M2" s="72"/>
      <c r="N2" s="78"/>
      <c r="O2" s="79"/>
    </row>
    <row r="3" spans="1:20" ht="43.5" customHeight="1">
      <c r="A3" s="53"/>
      <c r="B3" s="54"/>
      <c r="C3" s="54"/>
      <c r="D3" s="73"/>
      <c r="E3" s="74"/>
      <c r="F3" s="74"/>
      <c r="G3" s="74"/>
      <c r="H3" s="74"/>
      <c r="I3" s="74"/>
      <c r="J3" s="74"/>
      <c r="K3" s="74"/>
      <c r="L3" s="74"/>
      <c r="M3" s="75"/>
      <c r="N3" s="78"/>
      <c r="O3" s="79"/>
    </row>
    <row r="4" spans="1:20" ht="35.25" customHeight="1">
      <c r="A4" s="44" t="s">
        <v>7</v>
      </c>
      <c r="B4" s="45"/>
      <c r="C4" s="46" t="s">
        <v>37</v>
      </c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</row>
    <row r="5" spans="1:20" ht="34.5" customHeight="1" thickBot="1">
      <c r="A5" s="49" t="s">
        <v>8</v>
      </c>
      <c r="B5" s="50"/>
      <c r="C5" s="50"/>
      <c r="D5" s="50"/>
      <c r="E5" s="50"/>
      <c r="F5" s="62" t="s">
        <v>24</v>
      </c>
      <c r="G5" s="63"/>
      <c r="H5" s="63"/>
      <c r="I5" s="63"/>
      <c r="J5" s="63"/>
      <c r="K5" s="63"/>
      <c r="L5" s="64"/>
      <c r="M5" s="65" t="s">
        <v>9</v>
      </c>
      <c r="N5" s="66"/>
      <c r="O5" s="67"/>
    </row>
    <row r="6" spans="1:20" ht="28.5" customHeight="1">
      <c r="A6" s="42" t="s">
        <v>1</v>
      </c>
      <c r="B6" s="42" t="s">
        <v>10</v>
      </c>
      <c r="C6" s="38" t="s">
        <v>11</v>
      </c>
      <c r="D6" s="39"/>
      <c r="E6" s="42" t="s">
        <v>12</v>
      </c>
      <c r="F6" s="42" t="s">
        <v>13</v>
      </c>
      <c r="G6" s="42" t="s">
        <v>14</v>
      </c>
      <c r="H6" s="42" t="s">
        <v>15</v>
      </c>
      <c r="I6" s="42" t="s">
        <v>19</v>
      </c>
      <c r="J6" s="42" t="s">
        <v>18</v>
      </c>
      <c r="K6" s="42" t="s">
        <v>20</v>
      </c>
      <c r="L6" s="42" t="s">
        <v>16</v>
      </c>
      <c r="M6" s="42" t="s">
        <v>21</v>
      </c>
      <c r="N6" s="42" t="s">
        <v>22</v>
      </c>
      <c r="O6" s="42" t="s">
        <v>23</v>
      </c>
    </row>
    <row r="7" spans="1:20" ht="36.75" customHeight="1" thickBot="1">
      <c r="A7" s="43"/>
      <c r="B7" s="43"/>
      <c r="C7" s="40"/>
      <c r="D7" s="41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Q7" s="5" t="s">
        <v>47</v>
      </c>
      <c r="R7" s="5" t="s">
        <v>48</v>
      </c>
      <c r="S7" s="5" t="s">
        <v>49</v>
      </c>
      <c r="T7" s="5" t="s">
        <v>50</v>
      </c>
    </row>
    <row r="8" spans="1:20" ht="39.75" customHeight="1">
      <c r="A8" s="23">
        <v>1</v>
      </c>
      <c r="B8" s="24" t="s">
        <v>27</v>
      </c>
      <c r="C8" s="80" t="s">
        <v>36</v>
      </c>
      <c r="D8" s="81"/>
      <c r="E8" s="24" t="s">
        <v>17</v>
      </c>
      <c r="F8" s="25">
        <v>46013</v>
      </c>
      <c r="G8" s="25">
        <v>46014</v>
      </c>
      <c r="H8" s="26">
        <f>+G8-F8</f>
        <v>1</v>
      </c>
      <c r="I8" s="24">
        <v>50</v>
      </c>
      <c r="J8" s="24">
        <v>50</v>
      </c>
      <c r="K8" s="27">
        <v>50</v>
      </c>
      <c r="L8" s="28">
        <v>328</v>
      </c>
      <c r="M8" s="36">
        <v>209.6</v>
      </c>
      <c r="N8" s="36">
        <f>+(M8*1000)/(I8*J8)</f>
        <v>83.84</v>
      </c>
      <c r="O8" s="101">
        <f>+N8/100</f>
        <v>0.83840000000000003</v>
      </c>
      <c r="Q8" s="95">
        <f>+AVERAGE(N8:N11)</f>
        <v>83.83</v>
      </c>
      <c r="R8" s="5">
        <f>+STDEVA(N8:N11)</f>
        <v>3.3268804206543585</v>
      </c>
      <c r="S8" s="95">
        <f>+Q8-R8</f>
        <v>80.503119579345636</v>
      </c>
      <c r="T8" s="95">
        <f>+Q8+R8</f>
        <v>87.15688042065436</v>
      </c>
    </row>
    <row r="9" spans="1:20" ht="39.75" customHeight="1">
      <c r="A9" s="23">
        <v>2</v>
      </c>
      <c r="B9" s="24" t="s">
        <v>28</v>
      </c>
      <c r="C9" s="80" t="s">
        <v>36</v>
      </c>
      <c r="D9" s="81"/>
      <c r="E9" s="24" t="s">
        <v>17</v>
      </c>
      <c r="F9" s="25">
        <v>46013</v>
      </c>
      <c r="G9" s="25">
        <v>46014</v>
      </c>
      <c r="H9" s="26">
        <f t="shared" ref="H9:H21" si="0">+G9-F9</f>
        <v>1</v>
      </c>
      <c r="I9" s="24">
        <v>50</v>
      </c>
      <c r="J9" s="24">
        <v>50</v>
      </c>
      <c r="K9" s="27">
        <v>50</v>
      </c>
      <c r="L9" s="27">
        <v>322</v>
      </c>
      <c r="M9" s="36">
        <v>213.5</v>
      </c>
      <c r="N9" s="36">
        <f t="shared" ref="N9:N21" si="1">+(M9*1000)/(I9*J9)</f>
        <v>85.4</v>
      </c>
      <c r="O9" s="101">
        <f t="shared" ref="O9:O21" si="2">+N9/100</f>
        <v>0.85400000000000009</v>
      </c>
    </row>
    <row r="10" spans="1:20" ht="39.75" customHeight="1">
      <c r="A10" s="23">
        <v>3</v>
      </c>
      <c r="B10" s="24" t="s">
        <v>29</v>
      </c>
      <c r="C10" s="80" t="s">
        <v>36</v>
      </c>
      <c r="D10" s="81"/>
      <c r="E10" s="24" t="s">
        <v>17</v>
      </c>
      <c r="F10" s="25">
        <v>46013</v>
      </c>
      <c r="G10" s="25">
        <v>46014</v>
      </c>
      <c r="H10" s="26">
        <f t="shared" si="0"/>
        <v>1</v>
      </c>
      <c r="I10" s="24">
        <v>50</v>
      </c>
      <c r="J10" s="24">
        <v>50</v>
      </c>
      <c r="K10" s="27">
        <v>50</v>
      </c>
      <c r="L10" s="27">
        <v>321</v>
      </c>
      <c r="M10" s="36">
        <v>198</v>
      </c>
      <c r="N10" s="96">
        <f t="shared" si="1"/>
        <v>79.2</v>
      </c>
      <c r="O10" s="101">
        <f t="shared" si="2"/>
        <v>0.79200000000000004</v>
      </c>
    </row>
    <row r="11" spans="1:20" ht="39.75" customHeight="1">
      <c r="A11" s="23">
        <v>4</v>
      </c>
      <c r="B11" s="24" t="s">
        <v>30</v>
      </c>
      <c r="C11" s="80" t="s">
        <v>36</v>
      </c>
      <c r="D11" s="81"/>
      <c r="E11" s="24" t="s">
        <v>17</v>
      </c>
      <c r="F11" s="25">
        <v>46013</v>
      </c>
      <c r="G11" s="25">
        <v>46014</v>
      </c>
      <c r="H11" s="26">
        <f t="shared" si="0"/>
        <v>1</v>
      </c>
      <c r="I11" s="24">
        <v>50</v>
      </c>
      <c r="J11" s="24">
        <v>50</v>
      </c>
      <c r="K11" s="27">
        <v>50</v>
      </c>
      <c r="L11" s="27">
        <v>324</v>
      </c>
      <c r="M11" s="36">
        <v>217.2</v>
      </c>
      <c r="N11" s="36">
        <f t="shared" si="1"/>
        <v>86.88</v>
      </c>
      <c r="O11" s="101">
        <f t="shared" si="2"/>
        <v>0.86879999999999991</v>
      </c>
      <c r="Q11" s="5" t="s">
        <v>47</v>
      </c>
      <c r="R11" s="5" t="s">
        <v>48</v>
      </c>
      <c r="S11" s="5" t="s">
        <v>49</v>
      </c>
      <c r="T11" s="5" t="s">
        <v>50</v>
      </c>
    </row>
    <row r="12" spans="1:20" ht="39.75" customHeight="1">
      <c r="A12" s="29">
        <v>5</v>
      </c>
      <c r="B12" s="30" t="s">
        <v>31</v>
      </c>
      <c r="C12" s="84" t="s">
        <v>36</v>
      </c>
      <c r="D12" s="85"/>
      <c r="E12" s="30" t="s">
        <v>17</v>
      </c>
      <c r="F12" s="31">
        <v>46013</v>
      </c>
      <c r="G12" s="32">
        <v>46020</v>
      </c>
      <c r="H12" s="33">
        <f t="shared" si="0"/>
        <v>7</v>
      </c>
      <c r="I12" s="30">
        <v>50</v>
      </c>
      <c r="J12" s="30">
        <v>50</v>
      </c>
      <c r="K12" s="34">
        <v>50</v>
      </c>
      <c r="L12" s="34">
        <v>333</v>
      </c>
      <c r="M12" s="35">
        <v>280</v>
      </c>
      <c r="N12" s="37">
        <f t="shared" si="1"/>
        <v>112</v>
      </c>
      <c r="O12" s="102">
        <f t="shared" si="2"/>
        <v>1.1200000000000001</v>
      </c>
      <c r="Q12" s="95">
        <f>+AVERAGE(N12:N16)</f>
        <v>106.2</v>
      </c>
      <c r="R12" s="5">
        <f>+STDEVA(N12:N16)</f>
        <v>10.208349523796681</v>
      </c>
      <c r="S12" s="95">
        <f>+Q12-R12</f>
        <v>95.991650476203318</v>
      </c>
      <c r="T12" s="95">
        <f>+Q12+R12</f>
        <v>116.40834952379669</v>
      </c>
    </row>
    <row r="13" spans="1:20" ht="39.75" customHeight="1">
      <c r="A13" s="29">
        <v>6</v>
      </c>
      <c r="B13" s="30" t="s">
        <v>32</v>
      </c>
      <c r="C13" s="84" t="s">
        <v>36</v>
      </c>
      <c r="D13" s="85"/>
      <c r="E13" s="30" t="s">
        <v>17</v>
      </c>
      <c r="F13" s="31">
        <v>46013</v>
      </c>
      <c r="G13" s="32">
        <v>46020</v>
      </c>
      <c r="H13" s="33">
        <f t="shared" si="0"/>
        <v>7</v>
      </c>
      <c r="I13" s="30">
        <v>50</v>
      </c>
      <c r="J13" s="30">
        <v>50</v>
      </c>
      <c r="K13" s="34">
        <v>50</v>
      </c>
      <c r="L13" s="34">
        <v>329</v>
      </c>
      <c r="M13" s="35">
        <v>259.2</v>
      </c>
      <c r="N13" s="37">
        <f t="shared" si="1"/>
        <v>103.68</v>
      </c>
      <c r="O13" s="102">
        <f t="shared" si="2"/>
        <v>1.0368000000000002</v>
      </c>
    </row>
    <row r="14" spans="1:20" ht="39.75" customHeight="1">
      <c r="A14" s="29">
        <v>7</v>
      </c>
      <c r="B14" s="30" t="s">
        <v>33</v>
      </c>
      <c r="C14" s="84" t="s">
        <v>36</v>
      </c>
      <c r="D14" s="85"/>
      <c r="E14" s="30" t="s">
        <v>17</v>
      </c>
      <c r="F14" s="31">
        <v>46013</v>
      </c>
      <c r="G14" s="32">
        <v>46020</v>
      </c>
      <c r="H14" s="33">
        <f t="shared" si="0"/>
        <v>7</v>
      </c>
      <c r="I14" s="30">
        <v>50</v>
      </c>
      <c r="J14" s="30">
        <v>50</v>
      </c>
      <c r="K14" s="34">
        <v>50</v>
      </c>
      <c r="L14" s="34">
        <v>321</v>
      </c>
      <c r="M14" s="35">
        <v>226.9</v>
      </c>
      <c r="N14" s="97">
        <f t="shared" si="1"/>
        <v>90.76</v>
      </c>
      <c r="O14" s="102">
        <f t="shared" si="2"/>
        <v>0.90760000000000007</v>
      </c>
    </row>
    <row r="15" spans="1:20" ht="39.75" customHeight="1">
      <c r="A15" s="29">
        <v>8</v>
      </c>
      <c r="B15" s="30" t="s">
        <v>34</v>
      </c>
      <c r="C15" s="84" t="s">
        <v>36</v>
      </c>
      <c r="D15" s="85"/>
      <c r="E15" s="30" t="s">
        <v>17</v>
      </c>
      <c r="F15" s="31">
        <v>46013</v>
      </c>
      <c r="G15" s="32">
        <v>46020</v>
      </c>
      <c r="H15" s="33">
        <f t="shared" si="0"/>
        <v>7</v>
      </c>
      <c r="I15" s="30">
        <v>50</v>
      </c>
      <c r="J15" s="30">
        <v>50</v>
      </c>
      <c r="K15" s="34">
        <v>50</v>
      </c>
      <c r="L15" s="34">
        <v>322</v>
      </c>
      <c r="M15" s="35">
        <v>294.89999999999998</v>
      </c>
      <c r="N15" s="97">
        <f t="shared" si="1"/>
        <v>117.96</v>
      </c>
      <c r="O15" s="102">
        <f t="shared" si="2"/>
        <v>1.1796</v>
      </c>
    </row>
    <row r="16" spans="1:20" ht="39.75" customHeight="1">
      <c r="A16" s="29">
        <v>9</v>
      </c>
      <c r="B16" s="30" t="s">
        <v>35</v>
      </c>
      <c r="C16" s="84" t="s">
        <v>36</v>
      </c>
      <c r="D16" s="85"/>
      <c r="E16" s="30" t="s">
        <v>17</v>
      </c>
      <c r="F16" s="31">
        <v>46013</v>
      </c>
      <c r="G16" s="32">
        <v>46020</v>
      </c>
      <c r="H16" s="33">
        <f t="shared" si="0"/>
        <v>7</v>
      </c>
      <c r="I16" s="30">
        <v>50</v>
      </c>
      <c r="J16" s="30">
        <v>50</v>
      </c>
      <c r="K16" s="34">
        <v>50</v>
      </c>
      <c r="L16" s="34">
        <v>328</v>
      </c>
      <c r="M16" s="35">
        <v>266.5</v>
      </c>
      <c r="N16" s="37">
        <f t="shared" si="1"/>
        <v>106.6</v>
      </c>
      <c r="O16" s="102">
        <f t="shared" si="2"/>
        <v>1.0659999999999998</v>
      </c>
      <c r="Q16" s="5" t="s">
        <v>47</v>
      </c>
      <c r="R16" s="5" t="s">
        <v>48</v>
      </c>
      <c r="S16" s="5" t="s">
        <v>49</v>
      </c>
      <c r="T16" s="5" t="s">
        <v>50</v>
      </c>
    </row>
    <row r="17" spans="1:20" ht="39.75" customHeight="1">
      <c r="A17" s="23">
        <v>10</v>
      </c>
      <c r="B17" s="24" t="s">
        <v>38</v>
      </c>
      <c r="C17" s="80" t="s">
        <v>36</v>
      </c>
      <c r="D17" s="81"/>
      <c r="E17" s="24" t="s">
        <v>17</v>
      </c>
      <c r="F17" s="25">
        <v>46013</v>
      </c>
      <c r="G17" s="92">
        <v>46041</v>
      </c>
      <c r="H17" s="26">
        <f t="shared" si="0"/>
        <v>28</v>
      </c>
      <c r="I17" s="24">
        <v>50</v>
      </c>
      <c r="J17" s="24">
        <v>50</v>
      </c>
      <c r="K17" s="27">
        <v>50</v>
      </c>
      <c r="L17" s="27">
        <v>331</v>
      </c>
      <c r="M17" s="93">
        <v>317.60000000000002</v>
      </c>
      <c r="N17" s="94">
        <f t="shared" si="1"/>
        <v>127.04</v>
      </c>
      <c r="O17" s="101">
        <f t="shared" si="2"/>
        <v>1.2704</v>
      </c>
      <c r="Q17" s="95">
        <f>+AVERAGE(N17:N21)</f>
        <v>122.28800000000001</v>
      </c>
      <c r="R17" s="5">
        <f>+STDEVA(N17:N21)</f>
        <v>9.5987665874319497</v>
      </c>
      <c r="S17" s="95">
        <f>+Q17-R17</f>
        <v>112.68923341256806</v>
      </c>
      <c r="T17" s="95">
        <f>+Q17+R17</f>
        <v>131.88676658743196</v>
      </c>
    </row>
    <row r="18" spans="1:20" ht="39.75" customHeight="1">
      <c r="A18" s="23">
        <v>11</v>
      </c>
      <c r="B18" s="24" t="s">
        <v>39</v>
      </c>
      <c r="C18" s="80" t="s">
        <v>36</v>
      </c>
      <c r="D18" s="81"/>
      <c r="E18" s="24" t="s">
        <v>43</v>
      </c>
      <c r="F18" s="25">
        <v>46013</v>
      </c>
      <c r="G18" s="92">
        <v>46041</v>
      </c>
      <c r="H18" s="26">
        <f t="shared" si="0"/>
        <v>28</v>
      </c>
      <c r="I18" s="24">
        <v>50</v>
      </c>
      <c r="J18" s="24">
        <v>50</v>
      </c>
      <c r="K18" s="27">
        <v>50</v>
      </c>
      <c r="L18" s="27">
        <v>324</v>
      </c>
      <c r="M18" s="93">
        <v>306.60000000000002</v>
      </c>
      <c r="N18" s="94">
        <f t="shared" si="1"/>
        <v>122.64</v>
      </c>
      <c r="O18" s="101">
        <f t="shared" si="2"/>
        <v>1.2263999999999999</v>
      </c>
    </row>
    <row r="19" spans="1:20" ht="39.75" customHeight="1">
      <c r="A19" s="23">
        <v>12</v>
      </c>
      <c r="B19" s="24" t="s">
        <v>40</v>
      </c>
      <c r="C19" s="80" t="s">
        <v>36</v>
      </c>
      <c r="D19" s="81"/>
      <c r="E19" s="24" t="s">
        <v>44</v>
      </c>
      <c r="F19" s="25">
        <v>46013</v>
      </c>
      <c r="G19" s="92">
        <v>46041</v>
      </c>
      <c r="H19" s="26">
        <f t="shared" si="0"/>
        <v>28</v>
      </c>
      <c r="I19" s="24">
        <v>50</v>
      </c>
      <c r="J19" s="24">
        <v>50</v>
      </c>
      <c r="K19" s="27">
        <v>50</v>
      </c>
      <c r="L19" s="27">
        <v>325</v>
      </c>
      <c r="M19" s="93">
        <v>265</v>
      </c>
      <c r="N19" s="98">
        <f t="shared" si="1"/>
        <v>106</v>
      </c>
      <c r="O19" s="101">
        <f t="shared" si="2"/>
        <v>1.06</v>
      </c>
    </row>
    <row r="20" spans="1:20" ht="39.75" customHeight="1">
      <c r="A20" s="23">
        <v>13</v>
      </c>
      <c r="B20" s="24" t="s">
        <v>41</v>
      </c>
      <c r="C20" s="80" t="s">
        <v>36</v>
      </c>
      <c r="D20" s="81"/>
      <c r="E20" s="24" t="s">
        <v>45</v>
      </c>
      <c r="F20" s="25">
        <v>46013</v>
      </c>
      <c r="G20" s="92">
        <v>46041</v>
      </c>
      <c r="H20" s="26">
        <f t="shared" si="0"/>
        <v>28</v>
      </c>
      <c r="I20" s="24">
        <v>50</v>
      </c>
      <c r="J20" s="24">
        <v>50</v>
      </c>
      <c r="K20" s="27">
        <v>50</v>
      </c>
      <c r="L20" s="27">
        <v>327</v>
      </c>
      <c r="M20" s="93">
        <v>327.2</v>
      </c>
      <c r="N20" s="94">
        <f t="shared" si="1"/>
        <v>130.88</v>
      </c>
      <c r="O20" s="101">
        <f t="shared" si="2"/>
        <v>1.3088</v>
      </c>
    </row>
    <row r="21" spans="1:20" ht="39.75" customHeight="1">
      <c r="A21" s="23">
        <v>14</v>
      </c>
      <c r="B21" s="24" t="s">
        <v>42</v>
      </c>
      <c r="C21" s="80" t="s">
        <v>36</v>
      </c>
      <c r="D21" s="81"/>
      <c r="E21" s="24" t="s">
        <v>46</v>
      </c>
      <c r="F21" s="25">
        <v>46013</v>
      </c>
      <c r="G21" s="92">
        <v>46041</v>
      </c>
      <c r="H21" s="26">
        <f t="shared" si="0"/>
        <v>28</v>
      </c>
      <c r="I21" s="24">
        <v>50</v>
      </c>
      <c r="J21" s="24">
        <v>50</v>
      </c>
      <c r="K21" s="27">
        <v>50</v>
      </c>
      <c r="L21" s="27">
        <v>324</v>
      </c>
      <c r="M21" s="93">
        <v>312.2</v>
      </c>
      <c r="N21" s="94">
        <f t="shared" si="1"/>
        <v>124.88</v>
      </c>
      <c r="O21" s="101">
        <f t="shared" si="2"/>
        <v>1.2487999999999999</v>
      </c>
    </row>
    <row r="22" spans="1:20" ht="39.75" customHeight="1">
      <c r="A22" s="3"/>
      <c r="B22" s="4"/>
      <c r="C22" s="82"/>
      <c r="D22" s="83"/>
      <c r="E22" s="4"/>
      <c r="F22" s="4"/>
      <c r="G22" s="4"/>
      <c r="H22" s="22"/>
      <c r="I22" s="2"/>
      <c r="J22" s="2"/>
      <c r="K22" s="15"/>
      <c r="L22" s="15"/>
      <c r="M22" s="16"/>
      <c r="N22" s="17"/>
      <c r="O22" s="103"/>
    </row>
    <row r="23" spans="1:20" ht="39.75" customHeight="1" thickBot="1">
      <c r="A23" s="3"/>
      <c r="B23" s="4"/>
      <c r="C23" s="82"/>
      <c r="D23" s="83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103"/>
    </row>
    <row r="24" spans="1:20" ht="39.75" customHeight="1">
      <c r="A24" s="99" t="s">
        <v>51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6"/>
      <c r="N24" s="56"/>
      <c r="O24" s="57"/>
    </row>
    <row r="25" spans="1:20" ht="30" customHeight="1" thickBot="1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60"/>
      <c r="N25" s="60"/>
      <c r="O25" s="61"/>
    </row>
    <row r="26" spans="1:20" s="1" customFormat="1" ht="30" customHeight="1" thickBot="1">
      <c r="A26" s="89" t="s">
        <v>2</v>
      </c>
      <c r="B26" s="90"/>
      <c r="C26" s="90"/>
      <c r="D26" s="90"/>
      <c r="E26" s="90"/>
      <c r="F26" s="90"/>
      <c r="G26" s="90"/>
      <c r="H26" s="90"/>
      <c r="I26" s="91"/>
      <c r="J26" s="86" t="s">
        <v>3</v>
      </c>
      <c r="K26" s="87"/>
      <c r="L26" s="87"/>
      <c r="M26" s="87"/>
      <c r="N26" s="87"/>
      <c r="O26" s="88"/>
      <c r="P26" s="14"/>
      <c r="Q26" s="14"/>
    </row>
    <row r="27" spans="1:20" s="1" customFormat="1" ht="103.5" customHeight="1">
      <c r="A27" s="8" t="s">
        <v>4</v>
      </c>
      <c r="B27" s="104"/>
      <c r="C27" s="9"/>
      <c r="D27" s="8" t="s">
        <v>4</v>
      </c>
      <c r="E27" s="104"/>
      <c r="F27" s="9"/>
      <c r="G27" s="8" t="s">
        <v>4</v>
      </c>
      <c r="H27" s="105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104"/>
      <c r="C28" s="9"/>
      <c r="D28" s="8" t="s">
        <v>5</v>
      </c>
      <c r="E28" s="104"/>
      <c r="F28" s="9"/>
      <c r="G28" s="8" t="s">
        <v>5</v>
      </c>
      <c r="H28" s="105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2026-01-20T13:14:28Z</dcterms:modified>
</cp:coreProperties>
</file>