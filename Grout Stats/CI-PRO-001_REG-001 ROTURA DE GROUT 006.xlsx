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E:\Powerchina\Tecnopilotes\Registros de Calidad\06 AG-09 (30-01-26)\"/>
    </mc:Choice>
  </mc:AlternateContent>
  <xr:revisionPtr revIDLastSave="0" documentId="13_ncr:1_{7AA96B85-7AC7-4631-8167-EB7D4FDC317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F. ROTURA" sheetId="1" r:id="rId1"/>
  </sheets>
  <definedNames>
    <definedName name="_xlnm._FilterDatabase" localSheetId="0" hidden="1">'INF. ROTURA'!$A$6:$O$7</definedName>
    <definedName name="_xlnm.Print_Area" localSheetId="0">'INF. ROTURA'!$A$1:$O$29</definedName>
    <definedName name="_xlnm.Print_Titles" localSheetId="0">'INF. ROTURA'!$1:$3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8" i="1" l="1"/>
  <c r="Q8" i="1"/>
  <c r="R17" i="1"/>
  <c r="Q17" i="1"/>
  <c r="S17" i="1" s="1"/>
  <c r="T17" i="1" l="1"/>
  <c r="N12" i="1"/>
  <c r="H12" i="1"/>
  <c r="N9" i="1"/>
  <c r="O9" i="1" s="1"/>
  <c r="N10" i="1"/>
  <c r="O10" i="1" s="1"/>
  <c r="N11" i="1"/>
  <c r="O11" i="1" s="1"/>
  <c r="H9" i="1"/>
  <c r="H10" i="1"/>
  <c r="H11" i="1"/>
  <c r="H8" i="1"/>
  <c r="N8" i="1"/>
  <c r="O8" i="1" l="1"/>
  <c r="O12" i="1"/>
  <c r="R12" i="1"/>
  <c r="Q12" i="1"/>
  <c r="S8" i="1" l="1"/>
  <c r="T8" i="1"/>
  <c r="T12" i="1"/>
  <c r="S12" i="1"/>
</calcChain>
</file>

<file path=xl/sharedStrings.xml><?xml version="1.0" encoding="utf-8"?>
<sst xmlns="http://schemas.openxmlformats.org/spreadsheetml/2006/main" count="70" uniqueCount="40">
  <si>
    <t xml:space="preserve"> 
</t>
  </si>
  <si>
    <t>ITEM 项</t>
  </si>
  <si>
    <t>POWERCHINA / SUBCONTRATISTAS  承包商及分包商</t>
  </si>
  <si>
    <t>SUPERVISION 监理</t>
  </si>
  <si>
    <t>Firma 签字:</t>
  </si>
  <si>
    <t>Nombre 姓名:</t>
  </si>
  <si>
    <t xml:space="preserve">Fecha 日期:  </t>
  </si>
  <si>
    <t>PROYECTO: 项目名称</t>
  </si>
  <si>
    <r>
      <t xml:space="preserve">CLIENTE:  </t>
    </r>
    <r>
      <rPr>
        <sz val="12"/>
        <color theme="1"/>
        <rFont val="Arial"/>
        <family val="2"/>
      </rPr>
      <t xml:space="preserve"> ENDE CORPORACIÓN</t>
    </r>
    <r>
      <rPr>
        <b/>
        <sz val="12"/>
        <color theme="1"/>
        <rFont val="Arial"/>
        <family val="2"/>
      </rPr>
      <t xml:space="preserve">
客户</t>
    </r>
  </si>
  <si>
    <r>
      <rPr>
        <b/>
        <sz val="12"/>
        <rFont val="Arial"/>
        <family val="2"/>
      </rPr>
      <t>CODIGO:</t>
    </r>
    <r>
      <rPr>
        <sz val="12"/>
        <rFont val="Arial"/>
        <family val="2"/>
      </rPr>
      <t xml:space="preserve"> CI-PRO-001-REG-001</t>
    </r>
  </si>
  <si>
    <t>Codigo de probeta</t>
  </si>
  <si>
    <t>Estructura</t>
  </si>
  <si>
    <t>Tipo de grout utilizado</t>
  </si>
  <si>
    <t>Fecha de vaciado</t>
  </si>
  <si>
    <t>Fecha de rotura</t>
  </si>
  <si>
    <t>Edad de Rotura</t>
  </si>
  <si>
    <t>Peso (g)</t>
  </si>
  <si>
    <t>Sikagrout 9400</t>
  </si>
  <si>
    <t>Dimensiones  Lado B (mm)</t>
  </si>
  <si>
    <t>Dimensiones  Lado A (mm)</t>
  </si>
  <si>
    <t>Dimensione  Lado C (alto) (mm)</t>
  </si>
  <si>
    <t>Carga Rotura (kN)</t>
  </si>
  <si>
    <t>Resistencia de rotura (Mpa)</t>
  </si>
  <si>
    <t>% de Resistencia de rotura objetivo 100 (MPa)</t>
  </si>
  <si>
    <t>ROTURA DE GROUT A COMPRESIÓN</t>
  </si>
  <si>
    <t xml:space="preserve">REGISTRO DE ROTURA DE GROUT
 A COMPRESIÓN
</t>
  </si>
  <si>
    <t>Aerogenerador #08</t>
  </si>
  <si>
    <t>DISEÑO, PROVISION, TRANSPORTE, MONTAJE, INSTALACION, PRUEBAS Y PUESTA EN MARCHA DE AEROGENERADORES PARA EL PROYECTO PARQUE EOLICO WARNES II - SANTA CRUZ</t>
  </si>
  <si>
    <t>X prom</t>
  </si>
  <si>
    <t>desv stand</t>
  </si>
  <si>
    <t xml:space="preserve">min </t>
  </si>
  <si>
    <t>max</t>
  </si>
  <si>
    <r>
      <t xml:space="preserve">DETALLES ADICIONALES:
</t>
    </r>
    <r>
      <rPr>
        <sz val="11"/>
        <color theme="1"/>
        <rFont val="Arial"/>
        <family val="2"/>
      </rPr>
      <t>1) Los valores en rojo son desechados por estar por encima o por debajo del promedio +- la desv standard del grupo de muestreo.</t>
    </r>
  </si>
  <si>
    <t xml:space="preserve">
FECHA:  27/11/2024
Rev. 0   PAG: 1 DE 1
INFORME N°: 06</t>
  </si>
  <si>
    <t>Aerogenerador #09</t>
  </si>
  <si>
    <t>TE-0127</t>
  </si>
  <si>
    <t>TE-0128</t>
  </si>
  <si>
    <t>TE-0129</t>
  </si>
  <si>
    <t>TE-0130</t>
  </si>
  <si>
    <t>TE-0131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</si>
</sst>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1"/>
      <color theme="1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1"/>
      <name val="Arial"/>
      <family val="2"/>
    </font>
    <font>
      <b/>
      <sz val="20"/>
      <name val="Arial"/>
      <family val="2"/>
    </font>
    <font>
      <b/>
      <sz val="11"/>
      <name val="Arial"/>
      <family val="2"/>
    </font>
    <font>
      <sz val="9"/>
      <name val="Calibri"/>
      <family val="3"/>
      <charset val="134"/>
      <scheme val="minor"/>
    </font>
    <font>
      <sz val="12"/>
      <name val="Arial"/>
      <family val="2"/>
    </font>
    <font>
      <sz val="11"/>
      <color theme="1"/>
      <name val="Arial"/>
      <family val="2"/>
    </font>
    <font>
      <sz val="11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6" fillId="0" borderId="0" xfId="0" applyFont="1"/>
    <xf numFmtId="0" fontId="1" fillId="0" borderId="14" xfId="0" applyFont="1" applyBorder="1" applyAlignment="1">
      <alignment horizontal="center" vertical="distributed"/>
    </xf>
    <xf numFmtId="0" fontId="1" fillId="0" borderId="5" xfId="0" applyFont="1" applyBorder="1" applyAlignment="1">
      <alignment vertical="distributed"/>
    </xf>
    <xf numFmtId="0" fontId="1" fillId="0" borderId="6" xfId="0" applyFont="1" applyBorder="1" applyAlignment="1">
      <alignment vertical="distributed"/>
    </xf>
    <xf numFmtId="0" fontId="7" fillId="0" borderId="0" xfId="0" applyFont="1"/>
    <xf numFmtId="0" fontId="7" fillId="0" borderId="20" xfId="0" applyFont="1" applyBorder="1"/>
    <xf numFmtId="0" fontId="7" fillId="0" borderId="23" xfId="0" applyFont="1" applyBorder="1"/>
    <xf numFmtId="0" fontId="6" fillId="0" borderId="19" xfId="0" applyFont="1" applyBorder="1"/>
    <xf numFmtId="0" fontId="6" fillId="0" borderId="20" xfId="0" applyFont="1" applyBorder="1"/>
    <xf numFmtId="0" fontId="6" fillId="0" borderId="21" xfId="0" applyFont="1" applyBorder="1"/>
    <xf numFmtId="0" fontId="7" fillId="0" borderId="22" xfId="0" applyFont="1" applyBorder="1"/>
    <xf numFmtId="0" fontId="6" fillId="0" borderId="22" xfId="0" applyFont="1" applyBorder="1"/>
    <xf numFmtId="0" fontId="6" fillId="0" borderId="23" xfId="0" applyFont="1" applyBorder="1"/>
    <xf numFmtId="0" fontId="12" fillId="0" borderId="0" xfId="0" applyFont="1"/>
    <xf numFmtId="0" fontId="12" fillId="0" borderId="14" xfId="0" quotePrefix="1" applyFont="1" applyBorder="1" applyAlignment="1">
      <alignment horizontal="center" vertical="distributed"/>
    </xf>
    <xf numFmtId="0" fontId="12" fillId="0" borderId="15" xfId="0" applyFont="1" applyBorder="1" applyAlignment="1">
      <alignment horizontal="center" vertical="distributed"/>
    </xf>
    <xf numFmtId="0" fontId="12" fillId="0" borderId="7" xfId="0" applyFont="1" applyBorder="1" applyAlignment="1">
      <alignment vertical="distributed"/>
    </xf>
    <xf numFmtId="0" fontId="12" fillId="0" borderId="23" xfId="0" applyFont="1" applyBorder="1" applyAlignment="1">
      <alignment horizontal="center" vertical="distributed"/>
    </xf>
    <xf numFmtId="0" fontId="12" fillId="0" borderId="0" xfId="0" applyFont="1" applyAlignment="1">
      <alignment vertical="distributed"/>
    </xf>
    <xf numFmtId="0" fontId="12" fillId="0" borderId="0" xfId="0" applyFont="1" applyAlignment="1">
      <alignment horizontal="center" vertical="distributed"/>
    </xf>
    <xf numFmtId="0" fontId="1" fillId="0" borderId="32" xfId="0" applyFont="1" applyBorder="1" applyAlignment="1">
      <alignment vertical="distributed"/>
    </xf>
    <xf numFmtId="1" fontId="1" fillId="0" borderId="14" xfId="0" applyNumberFormat="1" applyFont="1" applyBorder="1" applyAlignment="1">
      <alignment horizontal="center" vertical="distributed"/>
    </xf>
    <xf numFmtId="0" fontId="1" fillId="5" borderId="13" xfId="0" applyFont="1" applyFill="1" applyBorder="1" applyAlignment="1">
      <alignment horizontal="center" vertical="distributed"/>
    </xf>
    <xf numFmtId="0" fontId="1" fillId="5" borderId="14" xfId="0" applyFont="1" applyFill="1" applyBorder="1" applyAlignment="1">
      <alignment horizontal="center" vertical="distributed"/>
    </xf>
    <xf numFmtId="14" fontId="1" fillId="5" borderId="14" xfId="0" applyNumberFormat="1" applyFont="1" applyFill="1" applyBorder="1" applyAlignment="1">
      <alignment horizontal="center" vertical="distributed"/>
    </xf>
    <xf numFmtId="1" fontId="1" fillId="5" borderId="14" xfId="0" applyNumberFormat="1" applyFont="1" applyFill="1" applyBorder="1" applyAlignment="1">
      <alignment horizontal="center" vertical="distributed"/>
    </xf>
    <xf numFmtId="0" fontId="12" fillId="5" borderId="14" xfId="0" quotePrefix="1" applyFont="1" applyFill="1" applyBorder="1" applyAlignment="1">
      <alignment horizontal="center" vertical="distributed"/>
    </xf>
    <xf numFmtId="0" fontId="12" fillId="5" borderId="15" xfId="0" applyFont="1" applyFill="1" applyBorder="1" applyAlignment="1">
      <alignment horizontal="center" vertical="distributed"/>
    </xf>
    <xf numFmtId="0" fontId="1" fillId="6" borderId="13" xfId="0" applyFont="1" applyFill="1" applyBorder="1" applyAlignment="1">
      <alignment horizontal="center" vertical="distributed"/>
    </xf>
    <xf numFmtId="0" fontId="1" fillId="6" borderId="14" xfId="0" applyFont="1" applyFill="1" applyBorder="1" applyAlignment="1">
      <alignment horizontal="center" vertical="distributed"/>
    </xf>
    <xf numFmtId="14" fontId="1" fillId="6" borderId="14" xfId="0" applyNumberFormat="1" applyFont="1" applyFill="1" applyBorder="1" applyAlignment="1">
      <alignment horizontal="center" vertical="distributed"/>
    </xf>
    <xf numFmtId="14" fontId="1" fillId="6" borderId="6" xfId="0" applyNumberFormat="1" applyFont="1" applyFill="1" applyBorder="1" applyAlignment="1">
      <alignment horizontal="center" vertical="distributed"/>
    </xf>
    <xf numFmtId="1" fontId="1" fillId="6" borderId="14" xfId="0" applyNumberFormat="1" applyFont="1" applyFill="1" applyBorder="1" applyAlignment="1">
      <alignment horizontal="center" vertical="distributed"/>
    </xf>
    <xf numFmtId="0" fontId="12" fillId="6" borderId="14" xfId="0" quotePrefix="1" applyFont="1" applyFill="1" applyBorder="1" applyAlignment="1">
      <alignment horizontal="center" vertical="distributed"/>
    </xf>
    <xf numFmtId="4" fontId="12" fillId="6" borderId="15" xfId="0" applyNumberFormat="1" applyFont="1" applyFill="1" applyBorder="1" applyAlignment="1">
      <alignment horizontal="right" vertical="distributed"/>
    </xf>
    <xf numFmtId="4" fontId="12" fillId="5" borderId="15" xfId="0" applyNumberFormat="1" applyFont="1" applyFill="1" applyBorder="1" applyAlignment="1">
      <alignment vertical="distributed"/>
    </xf>
    <xf numFmtId="4" fontId="12" fillId="6" borderId="7" xfId="0" applyNumberFormat="1" applyFont="1" applyFill="1" applyBorder="1" applyAlignment="1">
      <alignment vertical="distributed"/>
    </xf>
    <xf numFmtId="14" fontId="1" fillId="5" borderId="6" xfId="0" applyNumberFormat="1" applyFont="1" applyFill="1" applyBorder="1" applyAlignment="1">
      <alignment horizontal="center" vertical="distributed"/>
    </xf>
    <xf numFmtId="4" fontId="12" fillId="5" borderId="15" xfId="0" applyNumberFormat="1" applyFont="1" applyFill="1" applyBorder="1" applyAlignment="1">
      <alignment horizontal="right" vertical="distributed"/>
    </xf>
    <xf numFmtId="4" fontId="12" fillId="5" borderId="7" xfId="0" applyNumberFormat="1" applyFont="1" applyFill="1" applyBorder="1" applyAlignment="1">
      <alignment vertical="distributed"/>
    </xf>
    <xf numFmtId="4" fontId="7" fillId="0" borderId="0" xfId="0" applyNumberFormat="1" applyFont="1"/>
    <xf numFmtId="4" fontId="13" fillId="5" borderId="15" xfId="0" applyNumberFormat="1" applyFont="1" applyFill="1" applyBorder="1" applyAlignment="1">
      <alignment vertical="distributed"/>
    </xf>
    <xf numFmtId="4" fontId="13" fillId="6" borderId="7" xfId="0" applyNumberFormat="1" applyFont="1" applyFill="1" applyBorder="1" applyAlignment="1">
      <alignment vertical="distributed"/>
    </xf>
    <xf numFmtId="4" fontId="13" fillId="5" borderId="7" xfId="0" applyNumberFormat="1" applyFont="1" applyFill="1" applyBorder="1" applyAlignment="1">
      <alignment vertical="distributed"/>
    </xf>
    <xf numFmtId="10" fontId="12" fillId="5" borderId="41" xfId="0" applyNumberFormat="1" applyFont="1" applyFill="1" applyBorder="1" applyAlignment="1">
      <alignment vertical="distributed"/>
    </xf>
    <xf numFmtId="10" fontId="12" fillId="6" borderId="41" xfId="0" applyNumberFormat="1" applyFont="1" applyFill="1" applyBorder="1" applyAlignment="1">
      <alignment vertical="distributed"/>
    </xf>
    <xf numFmtId="10" fontId="12" fillId="0" borderId="41" xfId="0" applyNumberFormat="1" applyFont="1" applyBorder="1" applyAlignment="1">
      <alignment vertical="distributed"/>
    </xf>
    <xf numFmtId="0" fontId="6" fillId="0" borderId="0" xfId="0" applyFont="1" applyBorder="1"/>
    <xf numFmtId="0" fontId="7" fillId="0" borderId="0" xfId="0" applyFont="1" applyBorder="1"/>
    <xf numFmtId="0" fontId="1" fillId="5" borderId="15" xfId="0" applyFont="1" applyFill="1" applyBorder="1" applyAlignment="1">
      <alignment horizontal="center" vertical="distributed"/>
    </xf>
    <xf numFmtId="0" fontId="1" fillId="5" borderId="31" xfId="0" applyFont="1" applyFill="1" applyBorder="1" applyAlignment="1">
      <alignment horizontal="center" vertical="distributed"/>
    </xf>
    <xf numFmtId="0" fontId="1" fillId="0" borderId="7" xfId="0" applyFont="1" applyBorder="1" applyAlignment="1">
      <alignment horizontal="center" vertical="distributed"/>
    </xf>
    <xf numFmtId="0" fontId="1" fillId="0" borderId="36" xfId="0" applyFont="1" applyBorder="1" applyAlignment="1">
      <alignment horizontal="center" vertical="distributed"/>
    </xf>
    <xf numFmtId="0" fontId="1" fillId="6" borderId="15" xfId="0" applyFont="1" applyFill="1" applyBorder="1" applyAlignment="1">
      <alignment horizontal="center" vertical="distributed"/>
    </xf>
    <xf numFmtId="0" fontId="1" fillId="6" borderId="31" xfId="0" applyFont="1" applyFill="1" applyBorder="1" applyAlignment="1">
      <alignment horizontal="center" vertical="distributed"/>
    </xf>
    <xf numFmtId="0" fontId="5" fillId="4" borderId="27" xfId="0" applyFont="1" applyFill="1" applyBorder="1" applyAlignment="1">
      <alignment horizontal="center" vertical="center"/>
    </xf>
    <xf numFmtId="0" fontId="5" fillId="4" borderId="25" xfId="0" applyFont="1" applyFill="1" applyBorder="1" applyAlignment="1">
      <alignment horizontal="center" vertical="center"/>
    </xf>
    <xf numFmtId="0" fontId="5" fillId="4" borderId="28" xfId="0" applyFont="1" applyFill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5" fillId="3" borderId="25" xfId="0" applyFont="1" applyFill="1" applyBorder="1" applyAlignment="1">
      <alignment horizontal="center" vertical="center"/>
    </xf>
    <xf numFmtId="0" fontId="5" fillId="3" borderId="26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distributed" wrapText="1"/>
    </xf>
    <xf numFmtId="0" fontId="12" fillId="0" borderId="2" xfId="0" applyFont="1" applyBorder="1" applyAlignment="1">
      <alignment horizontal="center" vertical="distributed"/>
    </xf>
    <xf numFmtId="0" fontId="12" fillId="0" borderId="5" xfId="0" applyFont="1" applyBorder="1" applyAlignment="1">
      <alignment horizontal="center" vertical="distributed"/>
    </xf>
    <xf numFmtId="0" fontId="12" fillId="0" borderId="6" xfId="0" applyFont="1" applyBorder="1" applyAlignment="1">
      <alignment horizontal="center" vertical="distributed"/>
    </xf>
    <xf numFmtId="0" fontId="4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/>
    </xf>
    <xf numFmtId="0" fontId="4" fillId="0" borderId="3" xfId="0" applyFont="1" applyBorder="1" applyAlignment="1">
      <alignment horizontal="left" vertical="top"/>
    </xf>
    <xf numFmtId="0" fontId="4" fillId="0" borderId="4" xfId="0" applyFont="1" applyBorder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0" fontId="4" fillId="0" borderId="10" xfId="0" applyFont="1" applyBorder="1" applyAlignment="1">
      <alignment horizontal="left" vertical="top"/>
    </xf>
    <xf numFmtId="0" fontId="4" fillId="0" borderId="11" xfId="0" applyFont="1" applyBorder="1" applyAlignment="1">
      <alignment horizontal="left" vertical="top"/>
    </xf>
    <xf numFmtId="0" fontId="4" fillId="0" borderId="12" xfId="0" applyFont="1" applyBorder="1" applyAlignment="1">
      <alignment horizontal="left" vertical="top"/>
    </xf>
    <xf numFmtId="0" fontId="3" fillId="2" borderId="35" xfId="0" applyFont="1" applyFill="1" applyBorder="1" applyAlignment="1">
      <alignment horizontal="center" vertical="center" wrapText="1"/>
    </xf>
    <xf numFmtId="0" fontId="3" fillId="2" borderId="40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distributed" wrapText="1"/>
    </xf>
    <xf numFmtId="0" fontId="3" fillId="0" borderId="36" xfId="0" applyFont="1" applyBorder="1" applyAlignment="1">
      <alignment horizontal="center" vertical="distributed" wrapText="1"/>
    </xf>
    <xf numFmtId="0" fontId="3" fillId="0" borderId="37" xfId="0" applyFont="1" applyBorder="1" applyAlignment="1">
      <alignment horizontal="center" vertical="distributed" wrapText="1"/>
    </xf>
    <xf numFmtId="0" fontId="11" fillId="0" borderId="7" xfId="0" applyFont="1" applyBorder="1" applyAlignment="1">
      <alignment horizontal="center" vertical="distributed"/>
    </xf>
    <xf numFmtId="0" fontId="11" fillId="0" borderId="36" xfId="0" applyFont="1" applyBorder="1" applyAlignment="1">
      <alignment horizontal="center" vertical="distributed"/>
    </xf>
    <xf numFmtId="0" fontId="11" fillId="0" borderId="38" xfId="0" applyFont="1" applyBorder="1" applyAlignment="1">
      <alignment horizontal="center" vertical="distributed"/>
    </xf>
    <xf numFmtId="0" fontId="8" fillId="0" borderId="29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/>
    </xf>
    <xf numFmtId="0" fontId="8" fillId="0" borderId="33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8" fillId="0" borderId="6" xfId="0" applyFont="1" applyBorder="1" applyAlignment="1">
      <alignment horizontal="left" vertical="top" wrapText="1"/>
    </xf>
    <xf numFmtId="0" fontId="8" fillId="0" borderId="8" xfId="0" applyFont="1" applyBorder="1" applyAlignment="1">
      <alignment horizontal="left" vertical="top" wrapText="1"/>
    </xf>
    <xf numFmtId="0" fontId="2" fillId="0" borderId="39" xfId="0" applyFont="1" applyBorder="1" applyAlignment="1">
      <alignment horizontal="left" vertical="distributed"/>
    </xf>
    <xf numFmtId="0" fontId="2" fillId="0" borderId="37" xfId="0" applyFont="1" applyBorder="1" applyAlignment="1">
      <alignment horizontal="left" vertical="distributed"/>
    </xf>
    <xf numFmtId="0" fontId="12" fillId="0" borderId="7" xfId="0" applyFont="1" applyBorder="1" applyAlignment="1">
      <alignment horizontal="center" vertical="distributed"/>
    </xf>
    <xf numFmtId="0" fontId="12" fillId="0" borderId="36" xfId="0" applyFont="1" applyBorder="1" applyAlignment="1">
      <alignment horizontal="center" vertical="distributed"/>
    </xf>
    <xf numFmtId="0" fontId="12" fillId="0" borderId="38" xfId="0" applyFont="1" applyBorder="1" applyAlignment="1">
      <alignment horizontal="center" vertical="distributed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/>
    </xf>
    <xf numFmtId="0" fontId="3" fillId="2" borderId="16" xfId="0" applyFont="1" applyFill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center" vertical="center" wrapText="1"/>
    </xf>
    <xf numFmtId="4" fontId="7" fillId="5" borderId="15" xfId="0" applyNumberFormat="1" applyFont="1" applyFill="1" applyBorder="1" applyAlignment="1">
      <alignment vertical="distributed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927710</xdr:colOff>
      <xdr:row>0</xdr:row>
      <xdr:rowOff>152401</xdr:rowOff>
    </xdr:from>
    <xdr:to>
      <xdr:col>12</xdr:col>
      <xdr:colOff>929819</xdr:colOff>
      <xdr:row>2</xdr:row>
      <xdr:rowOff>76201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4D1C13A-1FF4-4BD2-9E1C-5DF1439836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567510" y="152401"/>
          <a:ext cx="2963023" cy="590550"/>
        </a:xfrm>
        <a:prstGeom prst="rect">
          <a:avLst/>
        </a:prstGeom>
      </xdr:spPr>
    </xdr:pic>
    <xdr:clientData/>
  </xdr:twoCellAnchor>
  <xdr:twoCellAnchor editAs="oneCell">
    <xdr:from>
      <xdr:col>1</xdr:col>
      <xdr:colOff>21771</xdr:colOff>
      <xdr:row>0</xdr:row>
      <xdr:rowOff>43542</xdr:rowOff>
    </xdr:from>
    <xdr:to>
      <xdr:col>2</xdr:col>
      <xdr:colOff>241540</xdr:colOff>
      <xdr:row>2</xdr:row>
      <xdr:rowOff>410935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F30EDD6-D65C-45BD-B7D6-F56EB347E5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2257" y="43542"/>
          <a:ext cx="1863512" cy="1042307"/>
        </a:xfrm>
        <a:prstGeom prst="rect">
          <a:avLst/>
        </a:prstGeom>
      </xdr:spPr>
    </xdr:pic>
    <xdr:clientData/>
  </xdr:twoCellAnchor>
  <xdr:twoCellAnchor editAs="oneCell">
    <xdr:from>
      <xdr:col>11</xdr:col>
      <xdr:colOff>1110343</xdr:colOff>
      <xdr:row>2</xdr:row>
      <xdr:rowOff>130629</xdr:rowOff>
    </xdr:from>
    <xdr:to>
      <xdr:col>12</xdr:col>
      <xdr:colOff>766315</xdr:colOff>
      <xdr:row>2</xdr:row>
      <xdr:rowOff>412571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E69B843-8E05-4C29-880C-29CB6C58F1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14172" y="805543"/>
          <a:ext cx="1060229" cy="281942"/>
        </a:xfrm>
        <a:prstGeom prst="rect">
          <a:avLst/>
        </a:prstGeom>
      </xdr:spPr>
    </xdr:pic>
    <xdr:clientData/>
  </xdr:twoCellAnchor>
  <xdr:twoCellAnchor editAs="oneCell">
    <xdr:from>
      <xdr:col>2</xdr:col>
      <xdr:colOff>805543</xdr:colOff>
      <xdr:row>0</xdr:row>
      <xdr:rowOff>108857</xdr:rowOff>
    </xdr:from>
    <xdr:to>
      <xdr:col>2</xdr:col>
      <xdr:colOff>1824718</xdr:colOff>
      <xdr:row>2</xdr:row>
      <xdr:rowOff>395968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DC5179A6-D775-D7D5-FE9F-D5CBF797D2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69772" y="108857"/>
          <a:ext cx="1019175" cy="962025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533400</xdr:colOff>
      <xdr:row>26</xdr:row>
      <xdr:rowOff>185057</xdr:rowOff>
    </xdr:from>
    <xdr:to>
      <xdr:col>2</xdr:col>
      <xdr:colOff>948267</xdr:colOff>
      <xdr:row>28</xdr:row>
      <xdr:rowOff>26296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6974FEC-7625-4472-97B9-529E03EA440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77" t="15453" r="14942" b="47624"/>
        <a:stretch>
          <a:fillRect/>
        </a:stretch>
      </xdr:blipFill>
      <xdr:spPr>
        <a:xfrm>
          <a:off x="1153886" y="12387943"/>
          <a:ext cx="2058610" cy="14414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  <pageSetUpPr fitToPage="1"/>
  </sheetPr>
  <dimension ref="A1:T29"/>
  <sheetViews>
    <sheetView tabSelected="1" showRuler="0" view="pageBreakPreview" topLeftCell="D4" zoomScale="70" zoomScaleNormal="70" zoomScaleSheetLayoutView="70" zoomScalePageLayoutView="49" workbookViewId="0">
      <selection activeCell="R9" sqref="R9"/>
    </sheetView>
  </sheetViews>
  <sheetFormatPr baseColWidth="10" defaultColWidth="10.6640625" defaultRowHeight="13.8"/>
  <cols>
    <col min="1" max="1" width="9.109375" style="19" customWidth="1"/>
    <col min="2" max="2" width="24" style="19" customWidth="1"/>
    <col min="3" max="3" width="28.109375" style="19" customWidth="1"/>
    <col min="4" max="4" width="17" style="19" customWidth="1"/>
    <col min="5" max="5" width="16.21875" style="19" customWidth="1"/>
    <col min="6" max="6" width="17.44140625" style="19" customWidth="1"/>
    <col min="7" max="7" width="15.77734375" style="19" customWidth="1"/>
    <col min="8" max="8" width="16.44140625" style="19" customWidth="1"/>
    <col min="9" max="9" width="18.21875" style="19" customWidth="1"/>
    <col min="10" max="10" width="23.5546875" style="20" customWidth="1"/>
    <col min="11" max="11" width="22.88671875" style="20" customWidth="1"/>
    <col min="12" max="12" width="20.44140625" style="19" customWidth="1"/>
    <col min="13" max="13" width="17.44140625" style="19" customWidth="1"/>
    <col min="14" max="14" width="24.88671875" style="19" customWidth="1"/>
    <col min="15" max="15" width="18.109375" style="14" customWidth="1"/>
    <col min="16" max="16384" width="10.6640625" style="14"/>
  </cols>
  <sheetData>
    <row r="1" spans="1:20" ht="24.75" customHeight="1">
      <c r="A1" s="62" t="s">
        <v>0</v>
      </c>
      <c r="B1" s="63"/>
      <c r="C1" s="63"/>
      <c r="D1" s="82" t="s">
        <v>25</v>
      </c>
      <c r="E1" s="83"/>
      <c r="F1" s="83"/>
      <c r="G1" s="83"/>
      <c r="H1" s="83"/>
      <c r="I1" s="83"/>
      <c r="J1" s="83"/>
      <c r="K1" s="83"/>
      <c r="L1" s="83"/>
      <c r="M1" s="84"/>
      <c r="N1" s="91" t="s">
        <v>33</v>
      </c>
      <c r="O1" s="92"/>
    </row>
    <row r="2" spans="1:20" ht="28.5" customHeight="1">
      <c r="A2" s="64"/>
      <c r="B2" s="65"/>
      <c r="C2" s="65"/>
      <c r="D2" s="85"/>
      <c r="E2" s="86"/>
      <c r="F2" s="86"/>
      <c r="G2" s="86"/>
      <c r="H2" s="86"/>
      <c r="I2" s="86"/>
      <c r="J2" s="86"/>
      <c r="K2" s="86"/>
      <c r="L2" s="86"/>
      <c r="M2" s="87"/>
      <c r="N2" s="93"/>
      <c r="O2" s="94"/>
    </row>
    <row r="3" spans="1:20" ht="43.5" customHeight="1">
      <c r="A3" s="64"/>
      <c r="B3" s="65"/>
      <c r="C3" s="65"/>
      <c r="D3" s="88"/>
      <c r="E3" s="89"/>
      <c r="F3" s="89"/>
      <c r="G3" s="89"/>
      <c r="H3" s="89"/>
      <c r="I3" s="89"/>
      <c r="J3" s="89"/>
      <c r="K3" s="89"/>
      <c r="L3" s="89"/>
      <c r="M3" s="90"/>
      <c r="N3" s="93"/>
      <c r="O3" s="94"/>
    </row>
    <row r="4" spans="1:20" ht="35.25" customHeight="1">
      <c r="A4" s="95" t="s">
        <v>7</v>
      </c>
      <c r="B4" s="96"/>
      <c r="C4" s="97" t="s">
        <v>27</v>
      </c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9"/>
    </row>
    <row r="5" spans="1:20" ht="34.5" customHeight="1" thickBot="1">
      <c r="A5" s="100" t="s">
        <v>8</v>
      </c>
      <c r="B5" s="101"/>
      <c r="C5" s="101"/>
      <c r="D5" s="101"/>
      <c r="E5" s="101"/>
      <c r="F5" s="76" t="s">
        <v>24</v>
      </c>
      <c r="G5" s="77"/>
      <c r="H5" s="77"/>
      <c r="I5" s="77"/>
      <c r="J5" s="77"/>
      <c r="K5" s="77"/>
      <c r="L5" s="78"/>
      <c r="M5" s="79" t="s">
        <v>9</v>
      </c>
      <c r="N5" s="80"/>
      <c r="O5" s="81"/>
    </row>
    <row r="6" spans="1:20" ht="28.5" customHeight="1">
      <c r="A6" s="74" t="s">
        <v>1</v>
      </c>
      <c r="B6" s="74" t="s">
        <v>10</v>
      </c>
      <c r="C6" s="102" t="s">
        <v>11</v>
      </c>
      <c r="D6" s="103"/>
      <c r="E6" s="74" t="s">
        <v>12</v>
      </c>
      <c r="F6" s="74" t="s">
        <v>13</v>
      </c>
      <c r="G6" s="74" t="s">
        <v>14</v>
      </c>
      <c r="H6" s="74" t="s">
        <v>15</v>
      </c>
      <c r="I6" s="74" t="s">
        <v>19</v>
      </c>
      <c r="J6" s="74" t="s">
        <v>18</v>
      </c>
      <c r="K6" s="74" t="s">
        <v>20</v>
      </c>
      <c r="L6" s="74" t="s">
        <v>16</v>
      </c>
      <c r="M6" s="74" t="s">
        <v>21</v>
      </c>
      <c r="N6" s="74" t="s">
        <v>22</v>
      </c>
      <c r="O6" s="74" t="s">
        <v>23</v>
      </c>
    </row>
    <row r="7" spans="1:20" ht="36.75" customHeight="1" thickBot="1">
      <c r="A7" s="75"/>
      <c r="B7" s="75"/>
      <c r="C7" s="104"/>
      <c r="D7" s="105"/>
      <c r="E7" s="75"/>
      <c r="F7" s="75"/>
      <c r="G7" s="75"/>
      <c r="H7" s="75"/>
      <c r="I7" s="75"/>
      <c r="J7" s="75"/>
      <c r="K7" s="75"/>
      <c r="L7" s="75"/>
      <c r="M7" s="75"/>
      <c r="N7" s="75"/>
      <c r="O7" s="75"/>
      <c r="Q7" s="5" t="s">
        <v>28</v>
      </c>
      <c r="R7" s="5" t="s">
        <v>29</v>
      </c>
      <c r="S7" s="5" t="s">
        <v>30</v>
      </c>
      <c r="T7" s="5" t="s">
        <v>31</v>
      </c>
    </row>
    <row r="8" spans="1:20" ht="39.75" customHeight="1">
      <c r="A8" s="23">
        <v>1</v>
      </c>
      <c r="B8" s="24" t="s">
        <v>35</v>
      </c>
      <c r="C8" s="50" t="s">
        <v>34</v>
      </c>
      <c r="D8" s="51"/>
      <c r="E8" s="24" t="s">
        <v>17</v>
      </c>
      <c r="F8" s="25">
        <v>46052</v>
      </c>
      <c r="G8" s="25">
        <v>46055</v>
      </c>
      <c r="H8" s="26">
        <f>+G8-F8</f>
        <v>3</v>
      </c>
      <c r="I8" s="24">
        <v>50</v>
      </c>
      <c r="J8" s="24">
        <v>50</v>
      </c>
      <c r="K8" s="27">
        <v>50</v>
      </c>
      <c r="L8" s="28">
        <v>320</v>
      </c>
      <c r="M8" s="36">
        <v>216.2</v>
      </c>
      <c r="N8" s="36">
        <f>+(M8*1000)/(I8*J8)</f>
        <v>86.48</v>
      </c>
      <c r="O8" s="45">
        <f>+N8/100</f>
        <v>0.86480000000000001</v>
      </c>
      <c r="Q8" s="41">
        <f>+AVERAGE(N8:N12)</f>
        <v>84.92</v>
      </c>
      <c r="R8" s="5">
        <f>+STDEVA(N8:N12)</f>
        <v>6.4863549085753842</v>
      </c>
      <c r="S8" s="41">
        <f>+Q8-R8</f>
        <v>78.433645091424623</v>
      </c>
      <c r="T8" s="41">
        <f>+Q8+R8</f>
        <v>91.406354908575381</v>
      </c>
    </row>
    <row r="9" spans="1:20" ht="39.75" customHeight="1">
      <c r="A9" s="23">
        <v>2</v>
      </c>
      <c r="B9" s="24" t="s">
        <v>36</v>
      </c>
      <c r="C9" s="50" t="s">
        <v>34</v>
      </c>
      <c r="D9" s="51"/>
      <c r="E9" s="24" t="s">
        <v>17</v>
      </c>
      <c r="F9" s="25">
        <v>46052</v>
      </c>
      <c r="G9" s="25">
        <v>46055</v>
      </c>
      <c r="H9" s="26">
        <f t="shared" ref="H9:H21" si="0">+G9-F9</f>
        <v>3</v>
      </c>
      <c r="I9" s="24">
        <v>50</v>
      </c>
      <c r="J9" s="24">
        <v>50</v>
      </c>
      <c r="K9" s="27">
        <v>50</v>
      </c>
      <c r="L9" s="27">
        <v>325</v>
      </c>
      <c r="M9" s="36">
        <v>191.7</v>
      </c>
      <c r="N9" s="42">
        <f t="shared" ref="N9:N21" si="1">+(M9*1000)/(I9*J9)</f>
        <v>76.680000000000007</v>
      </c>
      <c r="O9" s="45">
        <f t="shared" ref="O9:O21" si="2">+N9/100</f>
        <v>0.76680000000000004</v>
      </c>
    </row>
    <row r="10" spans="1:20" ht="39.75" customHeight="1">
      <c r="A10" s="23">
        <v>3</v>
      </c>
      <c r="B10" s="24" t="s">
        <v>37</v>
      </c>
      <c r="C10" s="50" t="s">
        <v>34</v>
      </c>
      <c r="D10" s="51"/>
      <c r="E10" s="24" t="s">
        <v>17</v>
      </c>
      <c r="F10" s="25">
        <v>46052</v>
      </c>
      <c r="G10" s="25">
        <v>46055</v>
      </c>
      <c r="H10" s="26">
        <f t="shared" si="0"/>
        <v>3</v>
      </c>
      <c r="I10" s="24">
        <v>50</v>
      </c>
      <c r="J10" s="24">
        <v>50</v>
      </c>
      <c r="K10" s="27">
        <v>50</v>
      </c>
      <c r="L10" s="27">
        <v>320</v>
      </c>
      <c r="M10" s="36">
        <v>199.3</v>
      </c>
      <c r="N10" s="106">
        <f t="shared" si="1"/>
        <v>79.72</v>
      </c>
      <c r="O10" s="45">
        <f t="shared" si="2"/>
        <v>0.79720000000000002</v>
      </c>
    </row>
    <row r="11" spans="1:20" ht="39.75" customHeight="1">
      <c r="A11" s="23">
        <v>4</v>
      </c>
      <c r="B11" s="24" t="s">
        <v>38</v>
      </c>
      <c r="C11" s="50" t="s">
        <v>34</v>
      </c>
      <c r="D11" s="51"/>
      <c r="E11" s="24" t="s">
        <v>17</v>
      </c>
      <c r="F11" s="25">
        <v>46052</v>
      </c>
      <c r="G11" s="25">
        <v>46055</v>
      </c>
      <c r="H11" s="26">
        <f t="shared" si="0"/>
        <v>3</v>
      </c>
      <c r="I11" s="24">
        <v>50</v>
      </c>
      <c r="J11" s="24">
        <v>50</v>
      </c>
      <c r="K11" s="27">
        <v>50</v>
      </c>
      <c r="L11" s="27">
        <v>324</v>
      </c>
      <c r="M11" s="36">
        <v>228.2</v>
      </c>
      <c r="N11" s="36">
        <f t="shared" si="1"/>
        <v>91.28</v>
      </c>
      <c r="O11" s="45">
        <f t="shared" si="2"/>
        <v>0.91280000000000006</v>
      </c>
      <c r="Q11" s="5" t="s">
        <v>28</v>
      </c>
      <c r="R11" s="5" t="s">
        <v>29</v>
      </c>
      <c r="S11" s="5" t="s">
        <v>30</v>
      </c>
      <c r="T11" s="5" t="s">
        <v>31</v>
      </c>
    </row>
    <row r="12" spans="1:20" ht="39.75" customHeight="1">
      <c r="A12" s="23">
        <v>5</v>
      </c>
      <c r="B12" s="24" t="s">
        <v>39</v>
      </c>
      <c r="C12" s="50" t="s">
        <v>26</v>
      </c>
      <c r="D12" s="51"/>
      <c r="E12" s="24" t="s">
        <v>17</v>
      </c>
      <c r="F12" s="25">
        <v>46052</v>
      </c>
      <c r="G12" s="25">
        <v>46055</v>
      </c>
      <c r="H12" s="26">
        <f t="shared" si="0"/>
        <v>3</v>
      </c>
      <c r="I12" s="24">
        <v>50</v>
      </c>
      <c r="J12" s="24">
        <v>50</v>
      </c>
      <c r="K12" s="27">
        <v>50</v>
      </c>
      <c r="L12" s="27">
        <v>320</v>
      </c>
      <c r="M12" s="36">
        <v>226.1</v>
      </c>
      <c r="N12" s="36">
        <f t="shared" si="1"/>
        <v>90.44</v>
      </c>
      <c r="O12" s="45">
        <f t="shared" si="2"/>
        <v>0.90439999999999998</v>
      </c>
      <c r="Q12" s="41">
        <f>+AVERAGE(N12:N16)</f>
        <v>90.44</v>
      </c>
      <c r="R12" s="5" t="e">
        <f>+STDEVA(N12:N16)</f>
        <v>#DIV/0!</v>
      </c>
      <c r="S12" s="41" t="e">
        <f>+Q12-R12</f>
        <v>#DIV/0!</v>
      </c>
      <c r="T12" s="41" t="e">
        <f>+Q12+R12</f>
        <v>#DIV/0!</v>
      </c>
    </row>
    <row r="13" spans="1:20" ht="39.75" customHeight="1">
      <c r="A13" s="29"/>
      <c r="B13" s="30"/>
      <c r="C13" s="54"/>
      <c r="D13" s="55"/>
      <c r="E13" s="30"/>
      <c r="F13" s="31"/>
      <c r="G13" s="32"/>
      <c r="H13" s="33"/>
      <c r="I13" s="30"/>
      <c r="J13" s="30"/>
      <c r="K13" s="34"/>
      <c r="L13" s="34"/>
      <c r="M13" s="35"/>
      <c r="N13" s="37"/>
      <c r="O13" s="46"/>
    </row>
    <row r="14" spans="1:20" ht="39.75" customHeight="1">
      <c r="A14" s="29"/>
      <c r="B14" s="30"/>
      <c r="C14" s="54"/>
      <c r="D14" s="55"/>
      <c r="E14" s="30"/>
      <c r="F14" s="31"/>
      <c r="G14" s="32"/>
      <c r="H14" s="33"/>
      <c r="I14" s="30"/>
      <c r="J14" s="30"/>
      <c r="K14" s="34"/>
      <c r="L14" s="34"/>
      <c r="M14" s="35"/>
      <c r="N14" s="43"/>
      <c r="O14" s="46"/>
    </row>
    <row r="15" spans="1:20" ht="39.75" customHeight="1">
      <c r="A15" s="29"/>
      <c r="B15" s="30"/>
      <c r="C15" s="54"/>
      <c r="D15" s="55"/>
      <c r="E15" s="30"/>
      <c r="F15" s="31"/>
      <c r="G15" s="32"/>
      <c r="H15" s="33"/>
      <c r="I15" s="30"/>
      <c r="J15" s="30"/>
      <c r="K15" s="34"/>
      <c r="L15" s="34"/>
      <c r="M15" s="35"/>
      <c r="N15" s="43"/>
      <c r="O15" s="46"/>
    </row>
    <row r="16" spans="1:20" ht="39.75" customHeight="1">
      <c r="A16" s="29"/>
      <c r="B16" s="30"/>
      <c r="C16" s="54"/>
      <c r="D16" s="55"/>
      <c r="E16" s="30"/>
      <c r="F16" s="31"/>
      <c r="G16" s="32"/>
      <c r="H16" s="33"/>
      <c r="I16" s="30"/>
      <c r="J16" s="30"/>
      <c r="K16" s="34"/>
      <c r="L16" s="34"/>
      <c r="M16" s="35"/>
      <c r="N16" s="37"/>
      <c r="O16" s="46"/>
      <c r="Q16" s="5" t="s">
        <v>28</v>
      </c>
      <c r="R16" s="5" t="s">
        <v>29</v>
      </c>
      <c r="S16" s="5" t="s">
        <v>30</v>
      </c>
      <c r="T16" s="5" t="s">
        <v>31</v>
      </c>
    </row>
    <row r="17" spans="1:20" ht="39.75" customHeight="1">
      <c r="A17" s="23"/>
      <c r="B17" s="24"/>
      <c r="C17" s="50"/>
      <c r="D17" s="51"/>
      <c r="E17" s="24"/>
      <c r="F17" s="25"/>
      <c r="G17" s="38"/>
      <c r="H17" s="26"/>
      <c r="I17" s="24"/>
      <c r="J17" s="24"/>
      <c r="K17" s="27"/>
      <c r="L17" s="27"/>
      <c r="M17" s="39"/>
      <c r="N17" s="40"/>
      <c r="O17" s="45"/>
      <c r="Q17" s="41" t="e">
        <f>+AVERAGE(N17:N21)</f>
        <v>#DIV/0!</v>
      </c>
      <c r="R17" s="5" t="e">
        <f>+STDEVA(N17:N21)</f>
        <v>#DIV/0!</v>
      </c>
      <c r="S17" s="41" t="e">
        <f>+Q17-R17</f>
        <v>#DIV/0!</v>
      </c>
      <c r="T17" s="41" t="e">
        <f>+Q17+R17</f>
        <v>#DIV/0!</v>
      </c>
    </row>
    <row r="18" spans="1:20" ht="39.75" customHeight="1">
      <c r="A18" s="23"/>
      <c r="B18" s="24"/>
      <c r="C18" s="50"/>
      <c r="D18" s="51"/>
      <c r="E18" s="24"/>
      <c r="F18" s="25"/>
      <c r="G18" s="38"/>
      <c r="H18" s="26"/>
      <c r="I18" s="24"/>
      <c r="J18" s="24"/>
      <c r="K18" s="27"/>
      <c r="L18" s="27"/>
      <c r="M18" s="39"/>
      <c r="N18" s="40"/>
      <c r="O18" s="45"/>
    </row>
    <row r="19" spans="1:20" ht="39.75" customHeight="1">
      <c r="A19" s="23"/>
      <c r="B19" s="24"/>
      <c r="C19" s="50"/>
      <c r="D19" s="51"/>
      <c r="E19" s="24"/>
      <c r="F19" s="25"/>
      <c r="G19" s="38"/>
      <c r="H19" s="26"/>
      <c r="I19" s="24"/>
      <c r="J19" s="24"/>
      <c r="K19" s="27"/>
      <c r="L19" s="27"/>
      <c r="M19" s="39"/>
      <c r="N19" s="44"/>
      <c r="O19" s="45"/>
    </row>
    <row r="20" spans="1:20" ht="39.75" customHeight="1">
      <c r="A20" s="23"/>
      <c r="B20" s="24"/>
      <c r="C20" s="50"/>
      <c r="D20" s="51"/>
      <c r="E20" s="24"/>
      <c r="F20" s="25"/>
      <c r="G20" s="38"/>
      <c r="H20" s="26"/>
      <c r="I20" s="24"/>
      <c r="J20" s="24"/>
      <c r="K20" s="27"/>
      <c r="L20" s="27"/>
      <c r="M20" s="39"/>
      <c r="N20" s="40"/>
      <c r="O20" s="45"/>
    </row>
    <row r="21" spans="1:20" ht="39.75" customHeight="1">
      <c r="A21" s="23"/>
      <c r="B21" s="24"/>
      <c r="C21" s="50"/>
      <c r="D21" s="51"/>
      <c r="E21" s="24"/>
      <c r="F21" s="25"/>
      <c r="G21" s="38"/>
      <c r="H21" s="26"/>
      <c r="I21" s="24"/>
      <c r="J21" s="24"/>
      <c r="K21" s="27"/>
      <c r="L21" s="27"/>
      <c r="M21" s="39"/>
      <c r="N21" s="40"/>
      <c r="O21" s="45"/>
    </row>
    <row r="22" spans="1:20" ht="39.75" customHeight="1">
      <c r="A22" s="3"/>
      <c r="B22" s="4"/>
      <c r="C22" s="52"/>
      <c r="D22" s="53"/>
      <c r="E22" s="4"/>
      <c r="F22" s="4"/>
      <c r="G22" s="4"/>
      <c r="H22" s="22"/>
      <c r="I22" s="2"/>
      <c r="J22" s="2"/>
      <c r="K22" s="15"/>
      <c r="L22" s="15"/>
      <c r="M22" s="16"/>
      <c r="N22" s="17"/>
      <c r="O22" s="47"/>
    </row>
    <row r="23" spans="1:20" ht="39.75" customHeight="1" thickBot="1">
      <c r="A23" s="3"/>
      <c r="B23" s="4"/>
      <c r="C23" s="52"/>
      <c r="D23" s="53"/>
      <c r="E23" s="21"/>
      <c r="F23" s="4"/>
      <c r="G23" s="4"/>
      <c r="H23" s="22"/>
      <c r="I23" s="2"/>
      <c r="J23" s="2"/>
      <c r="K23" s="15"/>
      <c r="L23" s="15"/>
      <c r="M23" s="16"/>
      <c r="N23" s="17"/>
      <c r="O23" s="47"/>
    </row>
    <row r="24" spans="1:20" ht="39.75" customHeight="1">
      <c r="A24" s="66" t="s">
        <v>32</v>
      </c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8"/>
      <c r="N24" s="68"/>
      <c r="O24" s="69"/>
    </row>
    <row r="25" spans="1:20" ht="30" customHeight="1" thickBot="1">
      <c r="A25" s="70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2"/>
      <c r="N25" s="72"/>
      <c r="O25" s="73"/>
    </row>
    <row r="26" spans="1:20" s="1" customFormat="1" ht="30" customHeight="1" thickBot="1">
      <c r="A26" s="59" t="s">
        <v>2</v>
      </c>
      <c r="B26" s="60"/>
      <c r="C26" s="60"/>
      <c r="D26" s="60"/>
      <c r="E26" s="60"/>
      <c r="F26" s="60"/>
      <c r="G26" s="60"/>
      <c r="H26" s="60"/>
      <c r="I26" s="61"/>
      <c r="J26" s="56" t="s">
        <v>3</v>
      </c>
      <c r="K26" s="57"/>
      <c r="L26" s="57"/>
      <c r="M26" s="57"/>
      <c r="N26" s="57"/>
      <c r="O26" s="58"/>
      <c r="P26" s="14"/>
      <c r="Q26" s="14"/>
    </row>
    <row r="27" spans="1:20" s="1" customFormat="1" ht="103.5" customHeight="1">
      <c r="A27" s="8" t="s">
        <v>4</v>
      </c>
      <c r="B27" s="48"/>
      <c r="C27" s="9"/>
      <c r="D27" s="8" t="s">
        <v>4</v>
      </c>
      <c r="E27" s="48"/>
      <c r="F27" s="9"/>
      <c r="G27" s="8" t="s">
        <v>4</v>
      </c>
      <c r="H27" s="49"/>
      <c r="I27" s="6"/>
      <c r="J27" s="8" t="s">
        <v>4</v>
      </c>
      <c r="K27" s="9"/>
      <c r="L27" s="8" t="s">
        <v>4</v>
      </c>
      <c r="M27" s="6"/>
      <c r="N27" s="8" t="s">
        <v>4</v>
      </c>
      <c r="O27" s="6"/>
      <c r="P27" s="14"/>
      <c r="Q27" s="14"/>
    </row>
    <row r="28" spans="1:20" s="1" customFormat="1" ht="23.25" customHeight="1">
      <c r="A28" s="8" t="s">
        <v>5</v>
      </c>
      <c r="B28" s="48"/>
      <c r="C28" s="9"/>
      <c r="D28" s="8" t="s">
        <v>5</v>
      </c>
      <c r="E28" s="48"/>
      <c r="F28" s="9"/>
      <c r="G28" s="8" t="s">
        <v>5</v>
      </c>
      <c r="H28" s="49"/>
      <c r="I28" s="6"/>
      <c r="J28" s="8" t="s">
        <v>5</v>
      </c>
      <c r="K28" s="9"/>
      <c r="L28" s="8" t="s">
        <v>5</v>
      </c>
      <c r="M28" s="6"/>
      <c r="N28" s="8" t="s">
        <v>5</v>
      </c>
      <c r="O28" s="6"/>
      <c r="P28" s="14"/>
      <c r="Q28" s="14"/>
    </row>
    <row r="29" spans="1:20" ht="20.25" customHeight="1" thickBot="1">
      <c r="A29" s="10" t="s">
        <v>6</v>
      </c>
      <c r="B29" s="12"/>
      <c r="C29" s="13"/>
      <c r="D29" s="10" t="s">
        <v>6</v>
      </c>
      <c r="E29" s="12"/>
      <c r="F29" s="13"/>
      <c r="G29" s="10" t="s">
        <v>6</v>
      </c>
      <c r="H29" s="11"/>
      <c r="I29" s="7"/>
      <c r="J29" s="10" t="s">
        <v>6</v>
      </c>
      <c r="K29" s="18"/>
      <c r="L29" s="10" t="s">
        <v>6</v>
      </c>
      <c r="M29" s="7"/>
      <c r="N29" s="10" t="s">
        <v>6</v>
      </c>
      <c r="O29" s="7"/>
    </row>
  </sheetData>
  <autoFilter ref="A6:O7" xr:uid="{00000000-0001-0000-0000-000000000000}">
    <filterColumn colId="2" showButton="0"/>
    <filterColumn colId="3" showButton="0"/>
    <filterColumn colId="12" showButton="0"/>
  </autoFilter>
  <mergeCells count="41">
    <mergeCell ref="N6:N7"/>
    <mergeCell ref="G6:G7"/>
    <mergeCell ref="A4:B4"/>
    <mergeCell ref="C4:O4"/>
    <mergeCell ref="A5:E5"/>
    <mergeCell ref="C6:D7"/>
    <mergeCell ref="E6:E7"/>
    <mergeCell ref="J6:J7"/>
    <mergeCell ref="F6:F7"/>
    <mergeCell ref="M6:M7"/>
    <mergeCell ref="A1:C3"/>
    <mergeCell ref="A24:O25"/>
    <mergeCell ref="A6:A7"/>
    <mergeCell ref="B6:B7"/>
    <mergeCell ref="K6:K7"/>
    <mergeCell ref="L6:L7"/>
    <mergeCell ref="O6:O7"/>
    <mergeCell ref="F5:L5"/>
    <mergeCell ref="M5:O5"/>
    <mergeCell ref="H6:H7"/>
    <mergeCell ref="D1:M3"/>
    <mergeCell ref="N1:O3"/>
    <mergeCell ref="I6:I7"/>
    <mergeCell ref="C8:D8"/>
    <mergeCell ref="C9:D9"/>
    <mergeCell ref="C10:D10"/>
    <mergeCell ref="C11:D11"/>
    <mergeCell ref="C22:D22"/>
    <mergeCell ref="C12:D12"/>
    <mergeCell ref="C13:D13"/>
    <mergeCell ref="J26:O26"/>
    <mergeCell ref="C23:D23"/>
    <mergeCell ref="C14:D14"/>
    <mergeCell ref="C15:D15"/>
    <mergeCell ref="C16:D16"/>
    <mergeCell ref="C17:D17"/>
    <mergeCell ref="C18:D18"/>
    <mergeCell ref="C19:D19"/>
    <mergeCell ref="C20:D20"/>
    <mergeCell ref="C21:D21"/>
    <mergeCell ref="A26:I26"/>
  </mergeCells>
  <phoneticPr fontId="10" type="noConversion"/>
  <printOptions horizontalCentered="1"/>
  <pageMargins left="0.31496062992125984" right="0.55118110236220474" top="0.43307086614173229" bottom="0.74803149606299213" header="0.31496062992125984" footer="0.31496062992125984"/>
  <pageSetup scale="43" orientation="landscape" r:id="rId1"/>
  <headerFooter>
    <oddFooter xml:space="preserve">&amp;L
&amp;R&amp;18 
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INF. ROTURA</vt:lpstr>
      <vt:lpstr>'INF. ROTURA'!Área_de_impresión</vt:lpstr>
      <vt:lpstr>'INF. ROTURA'!Títulos_a_imprimir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AKKAAAM</dc:creator>
  <cp:lastModifiedBy>luis fernando torrico moscoso</cp:lastModifiedBy>
  <cp:lastPrinted>2026-01-20T13:11:56Z</cp:lastPrinted>
  <dcterms:created xsi:type="dcterms:W3CDTF">2014-03-05T16:59:54Z</dcterms:created>
  <dcterms:modified xsi:type="dcterms:W3CDTF">2026-02-05T17:24:57Z</dcterms:modified>
</cp:coreProperties>
</file>